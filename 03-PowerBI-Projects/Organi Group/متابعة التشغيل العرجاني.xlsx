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OHAM\OneDrive\Desktop\"/>
    </mc:Choice>
  </mc:AlternateContent>
  <xr:revisionPtr revIDLastSave="0" documentId="13_ncr:1_{A2E98BE8-9879-4027-B7AC-A6C9B861BD7C}" xr6:coauthVersionLast="47" xr6:coauthVersionMax="47" xr10:uidLastSave="{00000000-0000-0000-0000-000000000000}"/>
  <bookViews>
    <workbookView xWindow="-120" yWindow="-120" windowWidth="20730" windowHeight="11040" xr2:uid="{1D432F96-0F4D-4200-90E4-9E3BD61C344F}"/>
  </bookViews>
  <sheets>
    <sheet name="Data_Sour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1" l="1"/>
  <c r="AD61" i="1"/>
  <c r="AA61" i="1"/>
  <c r="V61" i="1"/>
  <c r="AC61" i="1" s="1"/>
  <c r="S61" i="1"/>
  <c r="AD60" i="1"/>
  <c r="AC60" i="1"/>
  <c r="AA60" i="1"/>
  <c r="V60" i="1"/>
  <c r="AB60" i="1" s="1"/>
  <c r="S60" i="1"/>
  <c r="AD59" i="1"/>
  <c r="AA59" i="1"/>
  <c r="V59" i="1"/>
  <c r="AC59" i="1" s="1"/>
  <c r="S59" i="1"/>
  <c r="AD58" i="1"/>
  <c r="AC58" i="1"/>
  <c r="AA58" i="1"/>
  <c r="V58" i="1"/>
  <c r="AB58" i="1" s="1"/>
  <c r="S58" i="1"/>
  <c r="AD57" i="1"/>
  <c r="AA57" i="1"/>
  <c r="V57" i="1"/>
  <c r="AC57" i="1" s="1"/>
  <c r="S57" i="1"/>
  <c r="AD56" i="1"/>
  <c r="AA56" i="1"/>
  <c r="V56" i="1"/>
  <c r="AC56" i="1" s="1"/>
  <c r="S56" i="1"/>
  <c r="AD55" i="1"/>
  <c r="AA55" i="1"/>
  <c r="V55" i="1"/>
  <c r="AC55" i="1" s="1"/>
  <c r="S55" i="1"/>
  <c r="AD54" i="1"/>
  <c r="AA54" i="1"/>
  <c r="V54" i="1"/>
  <c r="AC54" i="1" s="1"/>
  <c r="S54" i="1"/>
  <c r="AD53" i="1"/>
  <c r="AA53" i="1"/>
  <c r="V53" i="1"/>
  <c r="AC53" i="1" s="1"/>
  <c r="S53" i="1"/>
  <c r="AD52" i="1"/>
  <c r="AA52" i="1"/>
  <c r="V52" i="1"/>
  <c r="AB52" i="1" s="1"/>
  <c r="S52" i="1"/>
  <c r="AD51" i="1"/>
  <c r="AA51" i="1"/>
  <c r="V51" i="1"/>
  <c r="AC51" i="1" s="1"/>
  <c r="S51" i="1"/>
  <c r="AD50" i="1"/>
  <c r="AA50" i="1"/>
  <c r="V50" i="1"/>
  <c r="AC50" i="1" s="1"/>
  <c r="S50" i="1"/>
  <c r="AD49" i="1"/>
  <c r="AA49" i="1"/>
  <c r="V49" i="1"/>
  <c r="AC49" i="1" s="1"/>
  <c r="S49" i="1"/>
  <c r="AD48" i="1"/>
  <c r="AA48" i="1"/>
  <c r="V48" i="1"/>
  <c r="AC48" i="1" s="1"/>
  <c r="S48" i="1"/>
  <c r="AD47" i="1"/>
  <c r="AA47" i="1"/>
  <c r="V47" i="1"/>
  <c r="AC47" i="1" s="1"/>
  <c r="S47" i="1"/>
  <c r="AD46" i="1"/>
  <c r="AA46" i="1"/>
  <c r="V46" i="1"/>
  <c r="AC46" i="1" s="1"/>
  <c r="S46" i="1"/>
  <c r="AD45" i="1"/>
  <c r="AA45" i="1"/>
  <c r="V45" i="1"/>
  <c r="AC45" i="1" s="1"/>
  <c r="S45" i="1"/>
  <c r="AD44" i="1"/>
  <c r="AA44" i="1"/>
  <c r="V44" i="1"/>
  <c r="AC44" i="1" s="1"/>
  <c r="S44" i="1"/>
  <c r="AD43" i="1"/>
  <c r="AA43" i="1"/>
  <c r="V43" i="1"/>
  <c r="AC43" i="1" s="1"/>
  <c r="S43" i="1"/>
  <c r="AD42" i="1"/>
  <c r="AA42" i="1"/>
  <c r="V42" i="1"/>
  <c r="AC42" i="1" s="1"/>
  <c r="S42" i="1"/>
  <c r="AD41" i="1"/>
  <c r="AA41" i="1"/>
  <c r="V41" i="1"/>
  <c r="AB41" i="1" s="1"/>
  <c r="S41" i="1"/>
  <c r="AD40" i="1"/>
  <c r="AA40" i="1"/>
  <c r="V40" i="1"/>
  <c r="AC40" i="1" s="1"/>
  <c r="S40" i="1"/>
  <c r="AD39" i="1"/>
  <c r="AA39" i="1"/>
  <c r="V39" i="1"/>
  <c r="AC39" i="1" s="1"/>
  <c r="S39" i="1"/>
  <c r="AD38" i="1"/>
  <c r="AA38" i="1"/>
  <c r="V38" i="1"/>
  <c r="AC38" i="1" s="1"/>
  <c r="S38" i="1"/>
  <c r="AD37" i="1"/>
  <c r="AA37" i="1"/>
  <c r="V37" i="1"/>
  <c r="AB37" i="1" s="1"/>
  <c r="S37" i="1"/>
  <c r="AD36" i="1"/>
  <c r="AA36" i="1"/>
  <c r="V36" i="1"/>
  <c r="AC36" i="1" s="1"/>
  <c r="S36" i="1"/>
  <c r="AD35" i="1"/>
  <c r="AA35" i="1"/>
  <c r="V35" i="1"/>
  <c r="AC35" i="1" s="1"/>
  <c r="S35" i="1"/>
  <c r="AD34" i="1"/>
  <c r="AA34" i="1"/>
  <c r="V34" i="1"/>
  <c r="AC34" i="1" s="1"/>
  <c r="S34" i="1"/>
  <c r="AD33" i="1"/>
  <c r="AA33" i="1"/>
  <c r="V33" i="1"/>
  <c r="AC33" i="1" s="1"/>
  <c r="S33" i="1"/>
  <c r="AD32" i="1"/>
  <c r="AA32" i="1"/>
  <c r="V32" i="1"/>
  <c r="AC32" i="1" s="1"/>
  <c r="S32" i="1"/>
  <c r="AD31" i="1"/>
  <c r="AA31" i="1"/>
  <c r="V31" i="1"/>
  <c r="AC31" i="1" s="1"/>
  <c r="S31" i="1"/>
  <c r="AD30" i="1"/>
  <c r="AA30" i="1"/>
  <c r="V30" i="1"/>
  <c r="AC30" i="1" s="1"/>
  <c r="S30" i="1"/>
  <c r="AD29" i="1"/>
  <c r="AA29" i="1"/>
  <c r="V29" i="1"/>
  <c r="AC29" i="1" s="1"/>
  <c r="S29" i="1"/>
  <c r="AD28" i="1"/>
  <c r="AA28" i="1"/>
  <c r="V28" i="1"/>
  <c r="AC28" i="1" s="1"/>
  <c r="S28" i="1"/>
  <c r="AD27" i="1"/>
  <c r="AA27" i="1"/>
  <c r="V27" i="1"/>
  <c r="AC27" i="1" s="1"/>
  <c r="S27" i="1"/>
  <c r="AD26" i="1"/>
  <c r="AA26" i="1"/>
  <c r="V26" i="1"/>
  <c r="AB26" i="1" s="1"/>
  <c r="S26" i="1"/>
  <c r="AD25" i="1"/>
  <c r="AA25" i="1"/>
  <c r="V25" i="1"/>
  <c r="AC25" i="1" s="1"/>
  <c r="S25" i="1"/>
  <c r="AD24" i="1"/>
  <c r="AA24" i="1"/>
  <c r="V24" i="1"/>
  <c r="AC24" i="1" s="1"/>
  <c r="S24" i="1"/>
  <c r="AD23" i="1"/>
  <c r="AA23" i="1"/>
  <c r="V23" i="1"/>
  <c r="AC23" i="1" s="1"/>
  <c r="S23" i="1"/>
  <c r="AD22" i="1"/>
  <c r="AA22" i="1"/>
  <c r="V22" i="1"/>
  <c r="AC22" i="1" s="1"/>
  <c r="S22" i="1"/>
  <c r="AD21" i="1"/>
  <c r="AA21" i="1"/>
  <c r="V21" i="1"/>
  <c r="AB21" i="1" s="1"/>
  <c r="S21" i="1"/>
  <c r="AD20" i="1"/>
  <c r="AA20" i="1"/>
  <c r="V20" i="1"/>
  <c r="AC20" i="1" s="1"/>
  <c r="S20" i="1"/>
  <c r="AD19" i="1"/>
  <c r="AA19" i="1"/>
  <c r="V19" i="1"/>
  <c r="AC19" i="1" s="1"/>
  <c r="S19" i="1"/>
  <c r="AD18" i="1"/>
  <c r="AA18" i="1"/>
  <c r="V18" i="1"/>
  <c r="AB18" i="1" s="1"/>
  <c r="S18" i="1"/>
  <c r="AD17" i="1"/>
  <c r="AA17" i="1"/>
  <c r="V17" i="1"/>
  <c r="AB17" i="1" s="1"/>
  <c r="S17" i="1"/>
  <c r="AD16" i="1"/>
  <c r="AA16" i="1"/>
  <c r="V16" i="1"/>
  <c r="AC16" i="1" s="1"/>
  <c r="S16" i="1"/>
  <c r="AD15" i="1"/>
  <c r="AA15" i="1"/>
  <c r="V15" i="1"/>
  <c r="AC15" i="1" s="1"/>
  <c r="S15" i="1"/>
  <c r="AD14" i="1"/>
  <c r="AA14" i="1"/>
  <c r="V14" i="1"/>
  <c r="AC14" i="1" s="1"/>
  <c r="S14" i="1"/>
  <c r="AD13" i="1"/>
  <c r="AA13" i="1"/>
  <c r="V13" i="1"/>
  <c r="AB13" i="1" s="1"/>
  <c r="S13" i="1"/>
  <c r="AD12" i="1"/>
  <c r="AA12" i="1"/>
  <c r="V12" i="1"/>
  <c r="AB12" i="1" s="1"/>
  <c r="S12" i="1"/>
  <c r="AD11" i="1"/>
  <c r="AA11" i="1"/>
  <c r="V11" i="1"/>
  <c r="AC11" i="1" s="1"/>
  <c r="S11" i="1"/>
  <c r="AD10" i="1"/>
  <c r="AA10" i="1"/>
  <c r="V10" i="1"/>
  <c r="AC10" i="1" s="1"/>
  <c r="S10" i="1"/>
  <c r="AD9" i="1"/>
  <c r="AA9" i="1"/>
  <c r="V9" i="1"/>
  <c r="AB9" i="1" s="1"/>
  <c r="S9" i="1"/>
  <c r="AD8" i="1"/>
  <c r="AA8" i="1"/>
  <c r="V8" i="1"/>
  <c r="AC8" i="1" s="1"/>
  <c r="S8" i="1"/>
  <c r="AD7" i="1"/>
  <c r="AA7" i="1"/>
  <c r="V7" i="1"/>
  <c r="AC7" i="1" s="1"/>
  <c r="S7" i="1"/>
  <c r="AD6" i="1"/>
  <c r="AA6" i="1"/>
  <c r="V6" i="1"/>
  <c r="AB6" i="1" s="1"/>
  <c r="S6" i="1"/>
  <c r="AD5" i="1"/>
  <c r="AA5" i="1"/>
  <c r="V5" i="1"/>
  <c r="AB5" i="1" s="1"/>
  <c r="S5" i="1"/>
  <c r="AD4" i="1"/>
  <c r="AA4" i="1"/>
  <c r="V4" i="1"/>
  <c r="AC4" i="1" s="1"/>
  <c r="S4" i="1"/>
  <c r="AD3" i="1"/>
  <c r="AA3" i="1"/>
  <c r="V3" i="1"/>
  <c r="AC3" i="1" s="1"/>
  <c r="S3" i="1"/>
  <c r="AA2" i="1"/>
  <c r="V2" i="1"/>
  <c r="AB2" i="1" s="1"/>
  <c r="S2" i="1"/>
  <c r="AB33" i="1" l="1"/>
  <c r="AB42" i="1"/>
  <c r="AC2" i="1"/>
  <c r="AB56" i="1"/>
  <c r="AC12" i="1"/>
  <c r="AC41" i="1"/>
  <c r="AB30" i="1"/>
  <c r="AC21" i="1"/>
  <c r="AB24" i="1"/>
  <c r="AB16" i="1"/>
  <c r="AB44" i="1"/>
  <c r="AB4" i="1"/>
  <c r="AB32" i="1"/>
  <c r="AC52" i="1"/>
  <c r="AB29" i="1"/>
  <c r="AB54" i="1"/>
  <c r="AB10" i="1"/>
  <c r="AC13" i="1"/>
  <c r="AB22" i="1"/>
  <c r="AB34" i="1"/>
  <c r="AB36" i="1"/>
  <c r="AC6" i="1"/>
  <c r="AC17" i="1"/>
  <c r="AC26" i="1"/>
  <c r="AC37" i="1"/>
  <c r="AB50" i="1"/>
  <c r="AB8" i="1"/>
  <c r="AB14" i="1"/>
  <c r="AB25" i="1"/>
  <c r="AB28" i="1"/>
  <c r="AC18" i="1"/>
  <c r="AC5" i="1"/>
  <c r="AB57" i="1"/>
  <c r="AB38" i="1"/>
  <c r="AB46" i="1"/>
  <c r="AC9" i="1"/>
  <c r="AB20" i="1"/>
  <c r="AB40" i="1"/>
  <c r="AB48" i="1"/>
  <c r="AB3" i="1"/>
  <c r="AB7" i="1"/>
  <c r="AB11" i="1"/>
  <c r="AB15" i="1"/>
  <c r="AB19" i="1"/>
  <c r="AB23" i="1"/>
  <c r="AB27" i="1"/>
  <c r="AB31" i="1"/>
  <c r="AB35" i="1"/>
  <c r="AB39" i="1"/>
  <c r="AB43" i="1"/>
  <c r="AB47" i="1"/>
  <c r="AB51" i="1"/>
  <c r="AB55" i="1"/>
  <c r="AB59" i="1"/>
  <c r="AB45" i="1"/>
  <c r="AB49" i="1"/>
  <c r="AB53" i="1"/>
  <c r="AB61" i="1"/>
</calcChain>
</file>

<file path=xl/sharedStrings.xml><?xml version="1.0" encoding="utf-8"?>
<sst xmlns="http://schemas.openxmlformats.org/spreadsheetml/2006/main" count="630" uniqueCount="222">
  <si>
    <t>م</t>
  </si>
  <si>
    <t>رقم FO</t>
  </si>
  <si>
    <t>تاريخ الرحلة</t>
  </si>
  <si>
    <t xml:space="preserve">كود السياره </t>
  </si>
  <si>
    <t>اسم السائق</t>
  </si>
  <si>
    <t>رقم لوحة الشاحنة</t>
  </si>
  <si>
    <t>رقم لوحة المقطورة</t>
  </si>
  <si>
    <t>نوع الرحلة</t>
  </si>
  <si>
    <t>اسم العميل</t>
  </si>
  <si>
    <t>نوع المقطورة</t>
  </si>
  <si>
    <t>نوع  الحمولة</t>
  </si>
  <si>
    <t>وزن الحمولة</t>
  </si>
  <si>
    <t xml:space="preserve">مصاريف ميزان </t>
  </si>
  <si>
    <t xml:space="preserve">مصاريف كارتات </t>
  </si>
  <si>
    <t>من</t>
  </si>
  <si>
    <t>الي</t>
  </si>
  <si>
    <t>تاريخ التحميل</t>
  </si>
  <si>
    <t>تاريخ التفريغ</t>
  </si>
  <si>
    <t>عدد ايام المبيت</t>
  </si>
  <si>
    <t>ك.م بداية</t>
  </si>
  <si>
    <t>ك.م نهاية</t>
  </si>
  <si>
    <t>المسافة المقطوعة (كم)</t>
  </si>
  <si>
    <t xml:space="preserve">عدد التوقفات </t>
  </si>
  <si>
    <t xml:space="preserve"> المخالفات  GPS</t>
  </si>
  <si>
    <t>بدل المبيت اليوم</t>
  </si>
  <si>
    <t>بدل السائق عن الرحلة</t>
  </si>
  <si>
    <t xml:space="preserve">اجمالي البدل </t>
  </si>
  <si>
    <t>البنزين</t>
  </si>
  <si>
    <t>عدد اللترات</t>
  </si>
  <si>
    <t>اجمالي مصاريف</t>
  </si>
  <si>
    <t>TR01</t>
  </si>
  <si>
    <t>حسن</t>
  </si>
  <si>
    <t>ا ل ص 2325</t>
  </si>
  <si>
    <t>أ ه ب 8267</t>
  </si>
  <si>
    <t xml:space="preserve">دولي </t>
  </si>
  <si>
    <t>عميل 1</t>
  </si>
  <si>
    <t>بردات</t>
  </si>
  <si>
    <t>حفظ تبريد</t>
  </si>
  <si>
    <t xml:space="preserve">العاشر من رمضان </t>
  </si>
  <si>
    <t>طرابلس (ليبيا)</t>
  </si>
  <si>
    <t>TR02</t>
  </si>
  <si>
    <t xml:space="preserve">احمد </t>
  </si>
  <si>
    <t>ا ل ص 2313</t>
  </si>
  <si>
    <t>أ ه ب 8268</t>
  </si>
  <si>
    <t>دخلي مسافات قصيره</t>
  </si>
  <si>
    <t>عميل 2</t>
  </si>
  <si>
    <t>فرش</t>
  </si>
  <si>
    <t>سلع غذائيه</t>
  </si>
  <si>
    <t>بني سويف</t>
  </si>
  <si>
    <t>TR03</t>
  </si>
  <si>
    <t xml:space="preserve">اشرف </t>
  </si>
  <si>
    <t>ا ل ص 2327</t>
  </si>
  <si>
    <t>أ ه ب 8269</t>
  </si>
  <si>
    <t xml:space="preserve">نقل بترول </t>
  </si>
  <si>
    <t>عميل 3</t>
  </si>
  <si>
    <t xml:space="preserve">بترول </t>
  </si>
  <si>
    <t>بترول</t>
  </si>
  <si>
    <t>عمان (الأردن)</t>
  </si>
  <si>
    <t>TR04</t>
  </si>
  <si>
    <t xml:space="preserve">عبد الرحمن </t>
  </si>
  <si>
    <t>ا ل ص 2326</t>
  </si>
  <si>
    <t>أ ه ب 8270</t>
  </si>
  <si>
    <t>دخلي مسافات طويله</t>
  </si>
  <si>
    <t>عميل 4</t>
  </si>
  <si>
    <t>كساحات  تليسكوبية</t>
  </si>
  <si>
    <t>مواسير بترول و غاز</t>
  </si>
  <si>
    <t>أسوان</t>
  </si>
  <si>
    <t>TR05</t>
  </si>
  <si>
    <t>سامح</t>
  </si>
  <si>
    <t>ا ل ص 2312</t>
  </si>
  <si>
    <t>أ ه ب 8271</t>
  </si>
  <si>
    <t>عميل 5</t>
  </si>
  <si>
    <t>بنغازي (ليبيا)</t>
  </si>
  <si>
    <t>TR06</t>
  </si>
  <si>
    <t>أحمد</t>
  </si>
  <si>
    <t>ا ل س 8385</t>
  </si>
  <si>
    <t>أ ه ب 8272</t>
  </si>
  <si>
    <t>عميل 6</t>
  </si>
  <si>
    <t>مواد التعبئه و تغليف</t>
  </si>
  <si>
    <t>مرسى علم</t>
  </si>
  <si>
    <t>TR07</t>
  </si>
  <si>
    <t>محمد</t>
  </si>
  <si>
    <t>ا ل س 8378</t>
  </si>
  <si>
    <t>أ ه ب 8273</t>
  </si>
  <si>
    <t>عميل 7</t>
  </si>
  <si>
    <t>الرياض (السعودية)</t>
  </si>
  <si>
    <t>TR08</t>
  </si>
  <si>
    <t>علي</t>
  </si>
  <si>
    <t>ا ل س 8382</t>
  </si>
  <si>
    <t>أ ه ب 8274</t>
  </si>
  <si>
    <t>عميل 8</t>
  </si>
  <si>
    <t>الهياكل الخرسانية</t>
  </si>
  <si>
    <t>السلوم</t>
  </si>
  <si>
    <t>TR09</t>
  </si>
  <si>
    <t>ا ل س 8381</t>
  </si>
  <si>
    <t>أ ه ب 8275</t>
  </si>
  <si>
    <t>عميل 9</t>
  </si>
  <si>
    <t>الخرطوم (السودان)</t>
  </si>
  <si>
    <t>TR10</t>
  </si>
  <si>
    <t>محمود</t>
  </si>
  <si>
    <t>ا ل س 8384</t>
  </si>
  <si>
    <t>أ ه ب 8276</t>
  </si>
  <si>
    <t>عميل 10</t>
  </si>
  <si>
    <t>حلايب</t>
  </si>
  <si>
    <t>TR11</t>
  </si>
  <si>
    <t>إبراهيم</t>
  </si>
  <si>
    <t>ا ل ف 3623</t>
  </si>
  <si>
    <t>أ ه ب 8277</t>
  </si>
  <si>
    <t>عميل 11</t>
  </si>
  <si>
    <t>دبي (الإمارات العربية المتحدة)</t>
  </si>
  <si>
    <t>TR12</t>
  </si>
  <si>
    <t>يوسف</t>
  </si>
  <si>
    <t>ا ل ف 3616</t>
  </si>
  <si>
    <t>أ ه ب 8278</t>
  </si>
  <si>
    <t>عميل 12</t>
  </si>
  <si>
    <t xml:space="preserve">اجزاء من كوبري معدني </t>
  </si>
  <si>
    <t>واحة سيوة</t>
  </si>
  <si>
    <t>TR13</t>
  </si>
  <si>
    <t>كريم</t>
  </si>
  <si>
    <t>ا ل ف 3538</t>
  </si>
  <si>
    <t>أ ه ب 8279</t>
  </si>
  <si>
    <t>عميل 13</t>
  </si>
  <si>
    <t>تجميد</t>
  </si>
  <si>
    <t>بورتسودان (السودان)</t>
  </si>
  <si>
    <t>TR14</t>
  </si>
  <si>
    <t>ا ل ف 3543</t>
  </si>
  <si>
    <t>أ ه ب 8280</t>
  </si>
  <si>
    <t>عميل 14</t>
  </si>
  <si>
    <t>دمياط</t>
  </si>
  <si>
    <t>TR15</t>
  </si>
  <si>
    <t>ا ل ف 3537</t>
  </si>
  <si>
    <t>أ ه ب 8281</t>
  </si>
  <si>
    <t>عميل 15</t>
  </si>
  <si>
    <t>الدوحة (قطر)</t>
  </si>
  <si>
    <t>TR16</t>
  </si>
  <si>
    <t>هيثم</t>
  </si>
  <si>
    <t>ا ل ف 3525</t>
  </si>
  <si>
    <t>أ ه ب 8282</t>
  </si>
  <si>
    <t>عميل 16</t>
  </si>
  <si>
    <t xml:space="preserve">كساحات </t>
  </si>
  <si>
    <t>كونتينر</t>
  </si>
  <si>
    <t>شلاتين</t>
  </si>
  <si>
    <t>TR17</t>
  </si>
  <si>
    <t>مصطفى</t>
  </si>
  <si>
    <t>ا ل ف 3532</t>
  </si>
  <si>
    <t>أ ه ب 8283</t>
  </si>
  <si>
    <t>عميل 17</t>
  </si>
  <si>
    <t>غزة (فلسطين)</t>
  </si>
  <si>
    <t>TR18</t>
  </si>
  <si>
    <t>ا ل ف 3536</t>
  </si>
  <si>
    <t>أ ه ب 8284</t>
  </si>
  <si>
    <t>عميل 18</t>
  </si>
  <si>
    <t>رأس سدر (جنوب سيناء)</t>
  </si>
  <si>
    <t>TR19</t>
  </si>
  <si>
    <t>شريف</t>
  </si>
  <si>
    <t>ا ل ف 3534</t>
  </si>
  <si>
    <t>أ ه ب 8285</t>
  </si>
  <si>
    <t>عميل 19</t>
  </si>
  <si>
    <t>الكويت (الكويت</t>
  </si>
  <si>
    <t>TR20</t>
  </si>
  <si>
    <t>طارق</t>
  </si>
  <si>
    <t>ا ل ف 3634</t>
  </si>
  <si>
    <t>أ ه ب 8286</t>
  </si>
  <si>
    <t>عميل 20</t>
  </si>
  <si>
    <t>هياكل  معدانيه</t>
  </si>
  <si>
    <t>TR21</t>
  </si>
  <si>
    <t>عمرو</t>
  </si>
  <si>
    <t>ا ل ف 3531</t>
  </si>
  <si>
    <t>أ ه ب 8287</t>
  </si>
  <si>
    <t>عميل 21</t>
  </si>
  <si>
    <t>TR22</t>
  </si>
  <si>
    <t>أيمن</t>
  </si>
  <si>
    <t>ا ل ف 3545</t>
  </si>
  <si>
    <t>أ ه ب 8288</t>
  </si>
  <si>
    <t>عميل 22</t>
  </si>
  <si>
    <t>دمنهور (البحيرة)</t>
  </si>
  <si>
    <t>TR23</t>
  </si>
  <si>
    <t>فؤاد</t>
  </si>
  <si>
    <t>ا ل ف 3235</t>
  </si>
  <si>
    <t>أ ه ب 8289</t>
  </si>
  <si>
    <t>عميل 23</t>
  </si>
  <si>
    <t xml:space="preserve">اسوان </t>
  </si>
  <si>
    <t>TR24</t>
  </si>
  <si>
    <t>ياسين</t>
  </si>
  <si>
    <t>ا ل ف 3231</t>
  </si>
  <si>
    <t>أ ه ب 8290</t>
  </si>
  <si>
    <t>عميل 24</t>
  </si>
  <si>
    <t xml:space="preserve">سيارات </t>
  </si>
  <si>
    <t>TR25</t>
  </si>
  <si>
    <t>رمضان</t>
  </si>
  <si>
    <t>ا ل ف 3236</t>
  </si>
  <si>
    <t>أ ه ب 8291</t>
  </si>
  <si>
    <t>عميل 25</t>
  </si>
  <si>
    <t>القدس (فلسطين)</t>
  </si>
  <si>
    <t>TR26</t>
  </si>
  <si>
    <t>سامي</t>
  </si>
  <si>
    <t>ا ل ف 3234</t>
  </si>
  <si>
    <t>أ ه ب 8292</t>
  </si>
  <si>
    <t>عميل 26</t>
  </si>
  <si>
    <t>الفيوم (بحيرة قارون)</t>
  </si>
  <si>
    <t>TR27</t>
  </si>
  <si>
    <t>زياد</t>
  </si>
  <si>
    <t>ا ل ف 3539</t>
  </si>
  <si>
    <t>أ ه ب 8293</t>
  </si>
  <si>
    <t>عميل 27</t>
  </si>
  <si>
    <t xml:space="preserve">الاسكندريه </t>
  </si>
  <si>
    <t>TR28</t>
  </si>
  <si>
    <t>عبد الرحمن</t>
  </si>
  <si>
    <t>ا ل ف 3631</t>
  </si>
  <si>
    <t>أ ه ب 8294</t>
  </si>
  <si>
    <t>عميل 28</t>
  </si>
  <si>
    <t xml:space="preserve">معدات ثقيله </t>
  </si>
  <si>
    <t>TR29</t>
  </si>
  <si>
    <t>بسام</t>
  </si>
  <si>
    <t>ا ل ف 3632</t>
  </si>
  <si>
    <t>أ ه ب 8295</t>
  </si>
  <si>
    <t>عميل 29</t>
  </si>
  <si>
    <t>TR30</t>
  </si>
  <si>
    <t>مدحت</t>
  </si>
  <si>
    <t>ا ل ف 3626</t>
  </si>
  <si>
    <t>أ ه ب 8296</t>
  </si>
  <si>
    <t>عميل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</si>
</sst>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4" fontId="0" fillId="4" borderId="7" xfId="0" applyNumberForma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3" fontId="0" fillId="4" borderId="11" xfId="0" applyNumberFormat="1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3" fontId="0" fillId="4" borderId="10" xfId="0" applyNumberFormat="1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" fillId="5" borderId="14" xfId="1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" fontId="0" fillId="5" borderId="14" xfId="0" applyNumberFormat="1" applyFill="1" applyBorder="1" applyAlignment="1">
      <alignment horizontal="center" vertical="center"/>
    </xf>
    <xf numFmtId="14" fontId="0" fillId="5" borderId="14" xfId="0" applyNumberFormat="1" applyFill="1" applyBorder="1" applyAlignment="1">
      <alignment horizontal="center" vertical="center"/>
    </xf>
    <xf numFmtId="3" fontId="0" fillId="4" borderId="16" xfId="0" applyNumberFormat="1" applyFill="1" applyBorder="1" applyAlignment="1">
      <alignment horizontal="center" vertical="center"/>
    </xf>
    <xf numFmtId="1" fontId="0" fillId="5" borderId="15" xfId="0" applyNumberFormat="1" applyFill="1" applyBorder="1" applyAlignment="1">
      <alignment horizontal="center" vertical="center"/>
    </xf>
    <xf numFmtId="1" fontId="0" fillId="3" borderId="0" xfId="0" applyNumberFormat="1" applyFill="1"/>
  </cellXfs>
  <cellStyles count="2">
    <cellStyle name="Normal" xfId="0" builtinId="0"/>
    <cellStyle name="Normal 22" xfId="1" xr:uid="{58B3E5CE-A4A6-4D66-8B0E-6BB9762F941E}"/>
  </cellStyles>
  <dxfs count="33"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theme="0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theme="0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theme="0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m/d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m/d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m/d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19748-AB1E-49F2-BE06-A772687C9419}" name="Table1" displayName="Table1" ref="A1:AD61" totalsRowShown="0" dataDxfId="31" headerRowBorderDxfId="32" tableBorderDxfId="30">
  <autoFilter ref="A1:AD61" xr:uid="{44A75766-E1BA-4B1C-8F3B-E899C1152037}"/>
  <tableColumns count="30">
    <tableColumn id="1" xr3:uid="{2883B6E8-2E50-4F9B-A9F6-09B11BBC4A39}" name="م" dataDxfId="29"/>
    <tableColumn id="2" xr3:uid="{960662DF-AC62-4045-AC3F-A35933D0C922}" name="رقم FO" dataDxfId="28"/>
    <tableColumn id="3" xr3:uid="{604773DE-BCF9-4D51-8593-4ECDEFC987D5}" name="تاريخ الرحلة" dataDxfId="27"/>
    <tableColumn id="4" xr3:uid="{4FE1EC43-50A5-4F87-BE28-1B38323E4D24}" name="كود السياره " dataDxfId="26" dataCellStyle="Normal 22"/>
    <tableColumn id="5" xr3:uid="{DA1300F1-14F0-4E05-9DB7-665F9EC58CD9}" name="اسم السائق" dataDxfId="25"/>
    <tableColumn id="6" xr3:uid="{320F37B9-9785-4BEC-B982-C81CA619FF25}" name="رقم لوحة الشاحنة" dataDxfId="24" dataCellStyle="Normal 22"/>
    <tableColumn id="8" xr3:uid="{7F1E111F-A816-4573-B873-23A29BAAB27E}" name="رقم لوحة المقطورة" dataDxfId="23"/>
    <tableColumn id="9" xr3:uid="{0EFDA51C-B6DA-465D-AE09-E01F7BD7C7C1}" name="نوع الرحلة" dataDxfId="22"/>
    <tableColumn id="10" xr3:uid="{171E2F9B-7DE1-43CB-98E9-EA4D1025117A}" name="اسم العميل" dataDxfId="21"/>
    <tableColumn id="35" xr3:uid="{463ABF76-3F4F-48FC-BEEE-8EA88122358B}" name="نوع المقطورة" dataDxfId="20"/>
    <tableColumn id="11" xr3:uid="{B8444A47-81CF-4B87-9096-6259BC0350FE}" name="نوع  الحمولة" dataDxfId="19"/>
    <tableColumn id="12" xr3:uid="{D81F9B1B-180C-42F7-9B19-465975FFD508}" name="وزن الحمولة" dataDxfId="18"/>
    <tableColumn id="13" xr3:uid="{FD3E30A1-0AC2-4B7A-B667-1C8C986F6CC6}" name="مصاريف ميزان " dataDxfId="17"/>
    <tableColumn id="14" xr3:uid="{9070F549-6106-4471-99B8-BEE76FF5C092}" name="مصاريف كارتات " dataDxfId="16"/>
    <tableColumn id="15" xr3:uid="{8D568F83-9FBA-43AE-B8C2-93E5839D77B9}" name="من" dataDxfId="15"/>
    <tableColumn id="16" xr3:uid="{11FFAED0-DBD3-47B8-8C9C-66921C955DC5}" name="الي" dataDxfId="14"/>
    <tableColumn id="17" xr3:uid="{453F7AC5-F2C7-40BE-952A-2F78473357C9}" name="تاريخ التحميل" dataDxfId="13"/>
    <tableColumn id="18" xr3:uid="{66C45EF8-29FD-4BCE-9F5C-1180E8219F54}" name="تاريخ التفريغ" dataDxfId="12"/>
    <tableColumn id="19" xr3:uid="{95BC3494-7A94-4456-8467-22BDB6036FAA}" name="عدد ايام المبيت" dataDxfId="11">
      <calculatedColumnFormula>Table1[[#This Row],[تاريخ التفريغ]] - Table1[[#This Row],[تاريخ التحميل]]</calculatedColumnFormula>
    </tableColumn>
    <tableColumn id="20" xr3:uid="{4CA7C37C-FF99-4444-8E1F-A25B675B57F8}" name="ك.م بداية" dataDxfId="10"/>
    <tableColumn id="21" xr3:uid="{66E6982E-B15D-4AA5-9689-D2C98F50F453}" name="ك.م نهاية" dataDxfId="9"/>
    <tableColumn id="22" xr3:uid="{4D176A62-AE13-4692-89D2-F2331B103ABA}" name="المسافة المقطوعة (كم)" dataDxfId="8">
      <calculatedColumnFormula>T2+U2</calculatedColumnFormula>
    </tableColumn>
    <tableColumn id="24" xr3:uid="{53C7C452-B67E-44E5-8EC3-A90C8D8BE02F}" name="عدد التوقفات " dataDxfId="7"/>
    <tableColumn id="27" xr3:uid="{8B0C7B0B-4DB4-4097-B9DA-993DE3A2CECF}" name=" المخالفات  GPS" dataDxfId="6"/>
    <tableColumn id="29" xr3:uid="{C730B41C-042B-43C0-9731-29B8E49380EC}" name="بدل المبيت اليوم" dataDxfId="5"/>
    <tableColumn id="30" xr3:uid="{BEED8361-BCCB-415F-8CA7-0EBCE9AA8926}" name="بدل السائق عن الرحلة" dataDxfId="4"/>
    <tableColumn id="31" xr3:uid="{5C0C9B8A-40FE-46E9-AA9B-56B365638423}" name="اجمالي البدل " dataDxfId="3">
      <calculatedColumnFormula>SUM(Table1[[#This Row],[بدل المبيت اليوم]:[بدل السائق عن الرحلة]])</calculatedColumnFormula>
    </tableColumn>
    <tableColumn id="7" xr3:uid="{27614B34-4BDD-4C4D-950E-FFB714E5D728}" name="البنزين" dataDxfId="2">
      <calculatedColumnFormula>Table1[[#This Row],[المسافة المقطوعة (كم)]] * 13.5</calculatedColumnFormula>
    </tableColumn>
    <tableColumn id="32" xr3:uid="{481EFFD2-AE83-4AF8-A8EE-C41BB222A14F}" name="عدد اللترات" dataDxfId="1">
      <calculatedColumnFormula>Table1[[#This Row],[المسافة المقطوعة (كم)]]/3</calculatedColumnFormula>
    </tableColumn>
    <tableColumn id="33" xr3:uid="{9B158AF1-B140-4DEF-9993-FC82AC5E5CD6}" name="اجمالي مصاريف" dataDxfId="0">
      <calculatedColumnFormula>SUM(Table1[[#This Row],[مصاريف ميزان ]],Table1[[#This Row],[مصاريف كارتات 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66F3-1D91-438E-B29F-8C0FD017C59E}">
  <sheetPr codeName="Sheet1">
    <tabColor rgb="FF002060"/>
  </sheetPr>
  <dimension ref="A1:AD143"/>
  <sheetViews>
    <sheetView showGridLines="0" tabSelected="1" topLeftCell="I3" workbookViewId="0">
      <selection activeCell="J6" sqref="J6"/>
    </sheetView>
  </sheetViews>
  <sheetFormatPr defaultColWidth="9.125" defaultRowHeight="14.25" x14ac:dyDescent="0.2"/>
  <cols>
    <col min="1" max="1" width="7.125" style="6" bestFit="1" customWidth="1"/>
    <col min="2" max="2" width="12.875" style="6" bestFit="1" customWidth="1"/>
    <col min="3" max="3" width="17.375" style="6" bestFit="1" customWidth="1"/>
    <col min="4" max="4" width="17.125" style="6" bestFit="1" customWidth="1"/>
    <col min="5" max="5" width="16.625" style="6" bestFit="1" customWidth="1"/>
    <col min="6" max="6" width="23.125" style="6" bestFit="1" customWidth="1"/>
    <col min="7" max="7" width="23.875" style="6" bestFit="1" customWidth="1"/>
    <col min="8" max="8" width="15.375" style="6" bestFit="1" customWidth="1"/>
    <col min="9" max="9" width="21.125" style="6" bestFit="1" customWidth="1"/>
    <col min="10" max="10" width="21.125" style="6" customWidth="1"/>
    <col min="11" max="11" width="18.25" style="6" bestFit="1" customWidth="1"/>
    <col min="12" max="12" width="17.625" style="6" bestFit="1" customWidth="1"/>
    <col min="13" max="13" width="19.75" style="6" bestFit="1" customWidth="1"/>
    <col min="14" max="14" width="20.625" style="6" bestFit="1" customWidth="1"/>
    <col min="15" max="15" width="14.25" style="6" bestFit="1" customWidth="1"/>
    <col min="16" max="16" width="22.375" style="6" bestFit="1" customWidth="1"/>
    <col min="17" max="17" width="19.375" style="6" bestFit="1" customWidth="1"/>
    <col min="18" max="18" width="15.75" style="6" customWidth="1"/>
    <col min="19" max="19" width="18" style="6" customWidth="1"/>
    <col min="20" max="20" width="15" style="6" bestFit="1" customWidth="1"/>
    <col min="21" max="21" width="14.75" style="6" bestFit="1" customWidth="1"/>
    <col min="22" max="22" width="25" style="6" customWidth="1"/>
    <col min="23" max="23" width="19.125" style="6" bestFit="1" customWidth="1"/>
    <col min="24" max="24" width="21.75" style="6" bestFit="1" customWidth="1"/>
    <col min="25" max="25" width="17.75" style="6" bestFit="1" customWidth="1"/>
    <col min="26" max="26" width="26.75" style="6" bestFit="1" customWidth="1"/>
    <col min="27" max="27" width="18.25" style="6" bestFit="1" customWidth="1"/>
    <col min="28" max="29" width="18.25" style="6" customWidth="1"/>
    <col min="30" max="30" width="20.375" style="35" bestFit="1" customWidth="1"/>
    <col min="31" max="16384" width="9.125" style="6"/>
  </cols>
  <sheetData>
    <row r="1" spans="1:30" ht="18.7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</row>
    <row r="2" spans="1:30" ht="15" x14ac:dyDescent="0.2">
      <c r="A2" s="7">
        <v>1</v>
      </c>
      <c r="B2" s="8">
        <v>12634</v>
      </c>
      <c r="C2" s="9">
        <v>45658</v>
      </c>
      <c r="D2" s="10" t="s">
        <v>30</v>
      </c>
      <c r="E2" s="11" t="s">
        <v>31</v>
      </c>
      <c r="F2" s="10" t="s">
        <v>32</v>
      </c>
      <c r="G2" s="11" t="s">
        <v>33</v>
      </c>
      <c r="H2" s="11" t="s">
        <v>34</v>
      </c>
      <c r="I2" s="11" t="s">
        <v>35</v>
      </c>
      <c r="J2" s="11" t="s">
        <v>36</v>
      </c>
      <c r="K2" s="11" t="s">
        <v>37</v>
      </c>
      <c r="L2" s="11">
        <v>100</v>
      </c>
      <c r="M2" s="12">
        <v>2000</v>
      </c>
      <c r="N2" s="12">
        <v>2000</v>
      </c>
      <c r="O2" s="11" t="s">
        <v>38</v>
      </c>
      <c r="P2" s="13" t="s">
        <v>39</v>
      </c>
      <c r="Q2" s="9">
        <v>45658</v>
      </c>
      <c r="R2" s="9">
        <v>45662</v>
      </c>
      <c r="S2" s="11">
        <f>Table1[[#This Row],[تاريخ التفريغ]] - Table1[[#This Row],[تاريخ التحميل]]</f>
        <v>4</v>
      </c>
      <c r="T2" s="11">
        <v>2000</v>
      </c>
      <c r="U2" s="12">
        <v>3000</v>
      </c>
      <c r="V2" s="11">
        <f>T2+U2</f>
        <v>5000</v>
      </c>
      <c r="W2" s="12">
        <v>3</v>
      </c>
      <c r="X2" s="12">
        <v>3</v>
      </c>
      <c r="Y2" s="14">
        <v>250</v>
      </c>
      <c r="Z2" s="14">
        <v>400</v>
      </c>
      <c r="AA2" s="15">
        <f>SUM(Table1[[#This Row],[بدل المبيت اليوم]:[بدل السائق عن الرحلة]])</f>
        <v>650</v>
      </c>
      <c r="AB2" s="16">
        <f>Table1[[#This Row],[المسافة المقطوعة (كم)]] * 13.5</f>
        <v>67500</v>
      </c>
      <c r="AC2" s="16">
        <f>Table1[[#This Row],[المسافة المقطوعة (كم)]]/3</f>
        <v>1666.6666666666667</v>
      </c>
      <c r="AD2" s="17">
        <f>SUM(Table1[[#This Row],[مصاريف ميزان ]],Table1[[#This Row],[مصاريف كارتات ]])</f>
        <v>4000</v>
      </c>
    </row>
    <row r="3" spans="1:30" ht="15" x14ac:dyDescent="0.2">
      <c r="A3" s="18">
        <v>2</v>
      </c>
      <c r="B3" s="19">
        <v>22634</v>
      </c>
      <c r="C3" s="9">
        <v>45690</v>
      </c>
      <c r="D3" s="20" t="s">
        <v>40</v>
      </c>
      <c r="E3" s="21" t="s">
        <v>41</v>
      </c>
      <c r="F3" s="20" t="s">
        <v>42</v>
      </c>
      <c r="G3" s="21" t="s">
        <v>43</v>
      </c>
      <c r="H3" s="21" t="s">
        <v>44</v>
      </c>
      <c r="I3" s="11" t="s">
        <v>45</v>
      </c>
      <c r="J3" s="21" t="s">
        <v>46</v>
      </c>
      <c r="K3" s="21" t="s">
        <v>47</v>
      </c>
      <c r="L3" s="21">
        <v>100</v>
      </c>
      <c r="M3" s="22">
        <v>3466</v>
      </c>
      <c r="N3" s="22">
        <v>3466</v>
      </c>
      <c r="O3" s="21" t="s">
        <v>38</v>
      </c>
      <c r="P3" s="21" t="s">
        <v>48</v>
      </c>
      <c r="Q3" s="23">
        <v>45659</v>
      </c>
      <c r="R3" s="23">
        <v>45660</v>
      </c>
      <c r="S3" s="21">
        <f>Table1[[#This Row],[تاريخ التفريغ]] - Table1[[#This Row],[تاريخ التحميل]]</f>
        <v>1</v>
      </c>
      <c r="T3" s="21">
        <v>2000</v>
      </c>
      <c r="U3" s="22">
        <v>2500</v>
      </c>
      <c r="V3" s="21">
        <f>T3+U3</f>
        <v>4500</v>
      </c>
      <c r="W3" s="22">
        <v>6</v>
      </c>
      <c r="X3" s="22">
        <v>6</v>
      </c>
      <c r="Y3" s="24">
        <v>251</v>
      </c>
      <c r="Z3" s="24">
        <v>401</v>
      </c>
      <c r="AA3" s="15">
        <f>SUM(Table1[[#This Row],[بدل المبيت اليوم]:[بدل السائق عن الرحلة]])</f>
        <v>652</v>
      </c>
      <c r="AB3" s="25">
        <f>Table1[[#This Row],[المسافة المقطوعة (كم)]] * 13.5</f>
        <v>60750</v>
      </c>
      <c r="AC3" s="25">
        <f>Table1[[#This Row],[المسافة المقطوعة (كم)]]/3</f>
        <v>1500</v>
      </c>
      <c r="AD3" s="26">
        <f>SUM(Table1[[#This Row],[مصاريف ميزان ]],Table1[[#This Row],[مصاريف كارتات ]])</f>
        <v>6932</v>
      </c>
    </row>
    <row r="4" spans="1:30" ht="15" x14ac:dyDescent="0.2">
      <c r="A4" s="7">
        <v>3</v>
      </c>
      <c r="B4" s="8">
        <v>32634</v>
      </c>
      <c r="C4" s="9">
        <v>45722</v>
      </c>
      <c r="D4" s="10" t="s">
        <v>49</v>
      </c>
      <c r="E4" s="11" t="s">
        <v>50</v>
      </c>
      <c r="F4" s="10" t="s">
        <v>51</v>
      </c>
      <c r="G4" s="11" t="s">
        <v>52</v>
      </c>
      <c r="H4" s="11" t="s">
        <v>53</v>
      </c>
      <c r="I4" s="11" t="s">
        <v>54</v>
      </c>
      <c r="J4" s="11" t="s">
        <v>55</v>
      </c>
      <c r="K4" s="11" t="s">
        <v>56</v>
      </c>
      <c r="L4" s="11">
        <v>100</v>
      </c>
      <c r="M4" s="12">
        <v>9644</v>
      </c>
      <c r="N4" s="12">
        <v>9644</v>
      </c>
      <c r="O4" s="11" t="s">
        <v>38</v>
      </c>
      <c r="P4" s="11" t="s">
        <v>57</v>
      </c>
      <c r="Q4" s="9">
        <v>45689</v>
      </c>
      <c r="R4" s="9">
        <v>45694</v>
      </c>
      <c r="S4" s="11">
        <f>Table1[[#This Row],[تاريخ التفريغ]] - Table1[[#This Row],[تاريخ التحميل]]</f>
        <v>5</v>
      </c>
      <c r="T4" s="11">
        <v>2000</v>
      </c>
      <c r="U4" s="12">
        <v>2200</v>
      </c>
      <c r="V4" s="11">
        <f>T4+U4</f>
        <v>4200</v>
      </c>
      <c r="W4" s="12">
        <v>8</v>
      </c>
      <c r="X4" s="12">
        <v>8</v>
      </c>
      <c r="Y4" s="14">
        <v>252</v>
      </c>
      <c r="Z4" s="14">
        <v>402</v>
      </c>
      <c r="AA4" s="15">
        <f>SUM(Table1[[#This Row],[بدل المبيت اليوم]:[بدل السائق عن الرحلة]])</f>
        <v>654</v>
      </c>
      <c r="AB4" s="25">
        <f>Table1[[#This Row],[المسافة المقطوعة (كم)]] * 13.5</f>
        <v>56700</v>
      </c>
      <c r="AC4" s="25">
        <f>Table1[[#This Row],[المسافة المقطوعة (كم)]]/3</f>
        <v>1400</v>
      </c>
      <c r="AD4" s="26">
        <f>SUM(Table1[[#This Row],[مصاريف ميزان ]],Table1[[#This Row],[مصاريف كارتات ]])</f>
        <v>19288</v>
      </c>
    </row>
    <row r="5" spans="1:30" ht="15" x14ac:dyDescent="0.2">
      <c r="A5" s="18">
        <v>4</v>
      </c>
      <c r="B5" s="19">
        <v>42634</v>
      </c>
      <c r="C5" s="9">
        <v>45754</v>
      </c>
      <c r="D5" s="20" t="s">
        <v>58</v>
      </c>
      <c r="E5" s="21" t="s">
        <v>59</v>
      </c>
      <c r="F5" s="20" t="s">
        <v>60</v>
      </c>
      <c r="G5" s="21" t="s">
        <v>61</v>
      </c>
      <c r="H5" s="21" t="s">
        <v>62</v>
      </c>
      <c r="I5" s="11" t="s">
        <v>63</v>
      </c>
      <c r="J5" s="21" t="s">
        <v>64</v>
      </c>
      <c r="K5" s="21" t="s">
        <v>65</v>
      </c>
      <c r="L5" s="21">
        <v>100</v>
      </c>
      <c r="M5" s="22">
        <v>12680.666666666701</v>
      </c>
      <c r="N5" s="22">
        <v>12680.666666666701</v>
      </c>
      <c r="O5" s="21" t="s">
        <v>38</v>
      </c>
      <c r="P5" s="21" t="s">
        <v>66</v>
      </c>
      <c r="Q5" s="23">
        <v>45690</v>
      </c>
      <c r="R5" s="23">
        <v>45694</v>
      </c>
      <c r="S5" s="21">
        <f>Table1[[#This Row],[تاريخ التفريغ]] - Table1[[#This Row],[تاريخ التحميل]]</f>
        <v>4</v>
      </c>
      <c r="T5" s="21">
        <v>2000</v>
      </c>
      <c r="U5" s="22">
        <v>3000</v>
      </c>
      <c r="V5" s="21">
        <f>T5+U5</f>
        <v>5000</v>
      </c>
      <c r="W5" s="22">
        <v>7</v>
      </c>
      <c r="X5" s="22">
        <v>7</v>
      </c>
      <c r="Y5" s="24">
        <v>253</v>
      </c>
      <c r="Z5" s="24">
        <v>403</v>
      </c>
      <c r="AA5" s="15">
        <f>SUM(Table1[[#This Row],[بدل المبيت اليوم]:[بدل السائق عن الرحلة]])</f>
        <v>656</v>
      </c>
      <c r="AB5" s="25">
        <f>Table1[[#This Row],[المسافة المقطوعة (كم)]] * 13.5</f>
        <v>67500</v>
      </c>
      <c r="AC5" s="25">
        <f>Table1[[#This Row],[المسافة المقطوعة (كم)]]/3</f>
        <v>1666.6666666666667</v>
      </c>
      <c r="AD5" s="26">
        <f>SUM(Table1[[#This Row],[مصاريف ميزان ]],Table1[[#This Row],[مصاريف كارتات ]])</f>
        <v>25361.333333333401</v>
      </c>
    </row>
    <row r="6" spans="1:30" ht="15" x14ac:dyDescent="0.2">
      <c r="A6" s="7">
        <v>5</v>
      </c>
      <c r="B6" s="8">
        <v>52634</v>
      </c>
      <c r="C6" s="9">
        <v>45786</v>
      </c>
      <c r="D6" s="10" t="s">
        <v>67</v>
      </c>
      <c r="E6" s="11" t="s">
        <v>68</v>
      </c>
      <c r="F6" s="10" t="s">
        <v>69</v>
      </c>
      <c r="G6" s="11" t="s">
        <v>70</v>
      </c>
      <c r="H6" s="11" t="s">
        <v>34</v>
      </c>
      <c r="I6" s="11" t="s">
        <v>71</v>
      </c>
      <c r="J6" s="11" t="s">
        <v>36</v>
      </c>
      <c r="K6" s="11" t="s">
        <v>37</v>
      </c>
      <c r="L6" s="11">
        <v>100</v>
      </c>
      <c r="M6" s="12">
        <v>16502.666666666701</v>
      </c>
      <c r="N6" s="12">
        <v>16502.666666666701</v>
      </c>
      <c r="O6" s="11" t="s">
        <v>38</v>
      </c>
      <c r="P6" s="11" t="s">
        <v>72</v>
      </c>
      <c r="Q6" s="9">
        <v>45724</v>
      </c>
      <c r="R6" s="9">
        <v>45727</v>
      </c>
      <c r="S6" s="11">
        <f>Table1[[#This Row],[تاريخ التفريغ]] - Table1[[#This Row],[تاريخ التحميل]]</f>
        <v>3</v>
      </c>
      <c r="T6" s="11">
        <v>2000</v>
      </c>
      <c r="U6" s="12">
        <v>2600</v>
      </c>
      <c r="V6" s="11">
        <f>T6+U6</f>
        <v>4600</v>
      </c>
      <c r="W6" s="12">
        <v>7</v>
      </c>
      <c r="X6" s="12">
        <v>7</v>
      </c>
      <c r="Y6" s="14">
        <v>254</v>
      </c>
      <c r="Z6" s="14">
        <v>404</v>
      </c>
      <c r="AA6" s="15">
        <f>SUM(Table1[[#This Row],[بدل المبيت اليوم]:[بدل السائق عن الرحلة]])</f>
        <v>658</v>
      </c>
      <c r="AB6" s="25">
        <f>Table1[[#This Row],[المسافة المقطوعة (كم)]] * 13.5</f>
        <v>62100</v>
      </c>
      <c r="AC6" s="25">
        <f>Table1[[#This Row],[المسافة المقطوعة (كم)]]/3</f>
        <v>1533.3333333333333</v>
      </c>
      <c r="AD6" s="26">
        <f>SUM(Table1[[#This Row],[مصاريف ميزان ]],Table1[[#This Row],[مصاريف كارتات ]])</f>
        <v>33005.333333333401</v>
      </c>
    </row>
    <row r="7" spans="1:30" ht="15" x14ac:dyDescent="0.2">
      <c r="A7" s="18">
        <v>6</v>
      </c>
      <c r="B7" s="19">
        <v>62634</v>
      </c>
      <c r="C7" s="9">
        <v>45818</v>
      </c>
      <c r="D7" s="20" t="s">
        <v>73</v>
      </c>
      <c r="E7" s="21" t="s">
        <v>74</v>
      </c>
      <c r="F7" s="20" t="s">
        <v>75</v>
      </c>
      <c r="G7" s="21" t="s">
        <v>76</v>
      </c>
      <c r="H7" s="21" t="s">
        <v>44</v>
      </c>
      <c r="I7" s="11" t="s">
        <v>77</v>
      </c>
      <c r="J7" s="21" t="s">
        <v>46</v>
      </c>
      <c r="K7" s="21" t="s">
        <v>78</v>
      </c>
      <c r="L7" s="21">
        <v>100</v>
      </c>
      <c r="M7" s="22">
        <v>20324.666666666701</v>
      </c>
      <c r="N7" s="22">
        <v>20324.666666666701</v>
      </c>
      <c r="O7" s="21" t="s">
        <v>38</v>
      </c>
      <c r="P7" s="21" t="s">
        <v>79</v>
      </c>
      <c r="Q7" s="23">
        <v>45725</v>
      </c>
      <c r="R7" s="23">
        <v>45739</v>
      </c>
      <c r="S7" s="21">
        <f>Table1[[#This Row],[تاريخ التفريغ]] - Table1[[#This Row],[تاريخ التحميل]]</f>
        <v>14</v>
      </c>
      <c r="T7" s="21">
        <v>2000</v>
      </c>
      <c r="U7" s="22">
        <v>2570</v>
      </c>
      <c r="V7" s="21">
        <f>T7+U7</f>
        <v>4570</v>
      </c>
      <c r="W7" s="22">
        <v>9</v>
      </c>
      <c r="X7" s="22">
        <v>9</v>
      </c>
      <c r="Y7" s="24">
        <v>255</v>
      </c>
      <c r="Z7" s="24">
        <v>405</v>
      </c>
      <c r="AA7" s="15">
        <f>SUM(Table1[[#This Row],[بدل المبيت اليوم]:[بدل السائق عن الرحلة]])</f>
        <v>660</v>
      </c>
      <c r="AB7" s="25">
        <f>Table1[[#This Row],[المسافة المقطوعة (كم)]] * 13.5</f>
        <v>61695</v>
      </c>
      <c r="AC7" s="25">
        <f>Table1[[#This Row],[المسافة المقطوعة (كم)]]/3</f>
        <v>1523.3333333333333</v>
      </c>
      <c r="AD7" s="26">
        <f>SUM(Table1[[#This Row],[مصاريف ميزان ]],Table1[[#This Row],[مصاريف كارتات ]])</f>
        <v>40649.333333333401</v>
      </c>
    </row>
    <row r="8" spans="1:30" ht="15" x14ac:dyDescent="0.2">
      <c r="A8" s="7">
        <v>7</v>
      </c>
      <c r="B8" s="8">
        <v>70645</v>
      </c>
      <c r="C8" s="9">
        <v>45850</v>
      </c>
      <c r="D8" s="10" t="s">
        <v>80</v>
      </c>
      <c r="E8" s="11" t="s">
        <v>81</v>
      </c>
      <c r="F8" s="10" t="s">
        <v>82</v>
      </c>
      <c r="G8" s="11" t="s">
        <v>83</v>
      </c>
      <c r="H8" s="11" t="s">
        <v>53</v>
      </c>
      <c r="I8" s="11" t="s">
        <v>84</v>
      </c>
      <c r="J8" s="11" t="s">
        <v>55</v>
      </c>
      <c r="K8" s="11" t="s">
        <v>56</v>
      </c>
      <c r="L8" s="11">
        <v>100</v>
      </c>
      <c r="M8" s="12">
        <v>24146.666666666701</v>
      </c>
      <c r="N8" s="12">
        <v>24146.666666666701</v>
      </c>
      <c r="O8" s="11" t="s">
        <v>38</v>
      </c>
      <c r="P8" s="11" t="s">
        <v>85</v>
      </c>
      <c r="Q8" s="9">
        <v>45757</v>
      </c>
      <c r="R8" s="9">
        <v>45763</v>
      </c>
      <c r="S8" s="11">
        <f>Table1[[#This Row],[تاريخ التفريغ]] - Table1[[#This Row],[تاريخ التحميل]]</f>
        <v>6</v>
      </c>
      <c r="T8" s="11">
        <v>2000</v>
      </c>
      <c r="U8" s="12">
        <v>2540</v>
      </c>
      <c r="V8" s="11">
        <f>T8+U8</f>
        <v>4540</v>
      </c>
      <c r="W8" s="12">
        <v>4</v>
      </c>
      <c r="X8" s="12">
        <v>4</v>
      </c>
      <c r="Y8" s="14">
        <v>256</v>
      </c>
      <c r="Z8" s="14">
        <v>406</v>
      </c>
      <c r="AA8" s="15">
        <f>SUM(Table1[[#This Row],[بدل المبيت اليوم]:[بدل السائق عن الرحلة]])</f>
        <v>662</v>
      </c>
      <c r="AB8" s="25">
        <f>Table1[[#This Row],[المسافة المقطوعة (كم)]] * 13.5</f>
        <v>61290</v>
      </c>
      <c r="AC8" s="25">
        <f>Table1[[#This Row],[المسافة المقطوعة (كم)]]/3</f>
        <v>1513.3333333333333</v>
      </c>
      <c r="AD8" s="26">
        <f>SUM(Table1[[#This Row],[مصاريف ميزان ]],Table1[[#This Row],[مصاريف كارتات ]])</f>
        <v>48293.333333333401</v>
      </c>
    </row>
    <row r="9" spans="1:30" ht="15" x14ac:dyDescent="0.2">
      <c r="A9" s="18">
        <v>8</v>
      </c>
      <c r="B9" s="19">
        <v>86345</v>
      </c>
      <c r="C9" s="9">
        <v>45882</v>
      </c>
      <c r="D9" s="20" t="s">
        <v>86</v>
      </c>
      <c r="E9" s="21" t="s">
        <v>87</v>
      </c>
      <c r="F9" s="20" t="s">
        <v>88</v>
      </c>
      <c r="G9" s="21" t="s">
        <v>89</v>
      </c>
      <c r="H9" s="21" t="s">
        <v>62</v>
      </c>
      <c r="I9" s="11" t="s">
        <v>90</v>
      </c>
      <c r="J9" s="21" t="s">
        <v>64</v>
      </c>
      <c r="K9" s="21" t="s">
        <v>91</v>
      </c>
      <c r="L9" s="21">
        <v>100</v>
      </c>
      <c r="M9" s="22">
        <v>27968.666666666701</v>
      </c>
      <c r="N9" s="22">
        <v>27968.666666666701</v>
      </c>
      <c r="O9" s="21" t="s">
        <v>38</v>
      </c>
      <c r="P9" s="21" t="s">
        <v>92</v>
      </c>
      <c r="Q9" s="23">
        <v>45758</v>
      </c>
      <c r="R9" s="23">
        <v>45764</v>
      </c>
      <c r="S9" s="21">
        <f>Table1[[#This Row],[تاريخ التفريغ]] - Table1[[#This Row],[تاريخ التحميل]]</f>
        <v>6</v>
      </c>
      <c r="T9" s="21">
        <v>2000</v>
      </c>
      <c r="U9" s="22">
        <v>2510</v>
      </c>
      <c r="V9" s="21">
        <f>T9+U9</f>
        <v>4510</v>
      </c>
      <c r="W9" s="22">
        <v>7.4285714285714297</v>
      </c>
      <c r="X9" s="22">
        <v>7.4285714285714297</v>
      </c>
      <c r="Y9" s="24">
        <v>257</v>
      </c>
      <c r="Z9" s="24">
        <v>407</v>
      </c>
      <c r="AA9" s="15">
        <f>SUM(Table1[[#This Row],[بدل المبيت اليوم]:[بدل السائق عن الرحلة]])</f>
        <v>664</v>
      </c>
      <c r="AB9" s="25">
        <f>Table1[[#This Row],[المسافة المقطوعة (كم)]] * 13.5</f>
        <v>60885</v>
      </c>
      <c r="AC9" s="25">
        <f>Table1[[#This Row],[المسافة المقطوعة (كم)]]/3</f>
        <v>1503.3333333333333</v>
      </c>
      <c r="AD9" s="26">
        <f>SUM(Table1[[#This Row],[مصاريف ميزان ]],Table1[[#This Row],[مصاريف كارتات ]])</f>
        <v>55937.333333333401</v>
      </c>
    </row>
    <row r="10" spans="1:30" ht="15" x14ac:dyDescent="0.2">
      <c r="A10" s="7">
        <v>9</v>
      </c>
      <c r="B10" s="8">
        <v>90645</v>
      </c>
      <c r="C10" s="9">
        <v>45914</v>
      </c>
      <c r="D10" s="10" t="s">
        <v>93</v>
      </c>
      <c r="E10" s="11" t="s">
        <v>31</v>
      </c>
      <c r="F10" s="10" t="s">
        <v>94</v>
      </c>
      <c r="G10" s="11" t="s">
        <v>95</v>
      </c>
      <c r="H10" s="11" t="s">
        <v>34</v>
      </c>
      <c r="I10" s="11" t="s">
        <v>96</v>
      </c>
      <c r="J10" s="11" t="s">
        <v>36</v>
      </c>
      <c r="K10" s="11" t="s">
        <v>37</v>
      </c>
      <c r="L10" s="11">
        <v>100</v>
      </c>
      <c r="M10" s="12">
        <v>31790.666666666701</v>
      </c>
      <c r="N10" s="12">
        <v>31790.666666666701</v>
      </c>
      <c r="O10" s="11" t="s">
        <v>38</v>
      </c>
      <c r="P10" s="11" t="s">
        <v>97</v>
      </c>
      <c r="Q10" s="9">
        <v>45789</v>
      </c>
      <c r="R10" s="9">
        <v>45800</v>
      </c>
      <c r="S10" s="11">
        <f>Table1[[#This Row],[تاريخ التفريغ]] - Table1[[#This Row],[تاريخ التحميل]]</f>
        <v>11</v>
      </c>
      <c r="T10" s="11">
        <v>2000</v>
      </c>
      <c r="U10" s="12">
        <v>2480</v>
      </c>
      <c r="V10" s="11">
        <f>T10+U10</f>
        <v>4480</v>
      </c>
      <c r="W10" s="12">
        <v>7.71428571428571</v>
      </c>
      <c r="X10" s="12">
        <v>7.71428571428571</v>
      </c>
      <c r="Y10" s="14">
        <v>258</v>
      </c>
      <c r="Z10" s="14">
        <v>408</v>
      </c>
      <c r="AA10" s="15">
        <f>SUM(Table1[[#This Row],[بدل المبيت اليوم]:[بدل السائق عن الرحلة]])</f>
        <v>666</v>
      </c>
      <c r="AB10" s="25">
        <f>Table1[[#This Row],[المسافة المقطوعة (كم)]] * 13.5</f>
        <v>60480</v>
      </c>
      <c r="AC10" s="25">
        <f>Table1[[#This Row],[المسافة المقطوعة (كم)]]/3</f>
        <v>1493.3333333333333</v>
      </c>
      <c r="AD10" s="26">
        <f>SUM(Table1[[#This Row],[مصاريف ميزان ]],Table1[[#This Row],[مصاريف كارتات ]])</f>
        <v>63581.333333333401</v>
      </c>
    </row>
    <row r="11" spans="1:30" ht="15" x14ac:dyDescent="0.2">
      <c r="A11" s="18">
        <v>10</v>
      </c>
      <c r="B11" s="19">
        <v>10634</v>
      </c>
      <c r="C11" s="9">
        <v>45946</v>
      </c>
      <c r="D11" s="20" t="s">
        <v>98</v>
      </c>
      <c r="E11" s="21" t="s">
        <v>99</v>
      </c>
      <c r="F11" s="20" t="s">
        <v>100</v>
      </c>
      <c r="G11" s="21" t="s">
        <v>101</v>
      </c>
      <c r="H11" s="21" t="s">
        <v>44</v>
      </c>
      <c r="I11" s="11" t="s">
        <v>102</v>
      </c>
      <c r="J11" s="21" t="s">
        <v>46</v>
      </c>
      <c r="K11" s="21" t="s">
        <v>47</v>
      </c>
      <c r="L11" s="21">
        <v>100</v>
      </c>
      <c r="M11" s="22">
        <v>35612.666666666701</v>
      </c>
      <c r="N11" s="22">
        <v>35612.666666666701</v>
      </c>
      <c r="O11" s="21" t="s">
        <v>38</v>
      </c>
      <c r="P11" s="21" t="s">
        <v>103</v>
      </c>
      <c r="Q11" s="23">
        <v>45790</v>
      </c>
      <c r="R11" s="23">
        <v>45796</v>
      </c>
      <c r="S11" s="21">
        <f>Table1[[#This Row],[تاريخ التفريغ]] - Table1[[#This Row],[تاريخ التحميل]]</f>
        <v>6</v>
      </c>
      <c r="T11" s="21">
        <v>2000</v>
      </c>
      <c r="U11" s="22">
        <v>2450</v>
      </c>
      <c r="V11" s="21">
        <f>T11+U11</f>
        <v>4450</v>
      </c>
      <c r="W11" s="22">
        <v>8</v>
      </c>
      <c r="X11" s="22">
        <v>8</v>
      </c>
      <c r="Y11" s="24">
        <v>259</v>
      </c>
      <c r="Z11" s="24">
        <v>409</v>
      </c>
      <c r="AA11" s="15">
        <f>SUM(Table1[[#This Row],[بدل المبيت اليوم]:[بدل السائق عن الرحلة]])</f>
        <v>668</v>
      </c>
      <c r="AB11" s="25">
        <f>Table1[[#This Row],[المسافة المقطوعة (كم)]] * 13.5</f>
        <v>60075</v>
      </c>
      <c r="AC11" s="25">
        <f>Table1[[#This Row],[المسافة المقطوعة (كم)]]/3</f>
        <v>1483.3333333333333</v>
      </c>
      <c r="AD11" s="26">
        <f>SUM(Table1[[#This Row],[مصاريف ميزان ]],Table1[[#This Row],[مصاريف كارتات ]])</f>
        <v>71225.333333333401</v>
      </c>
    </row>
    <row r="12" spans="1:30" ht="15" x14ac:dyDescent="0.2">
      <c r="A12" s="7">
        <v>11</v>
      </c>
      <c r="B12" s="8">
        <v>10634</v>
      </c>
      <c r="C12" s="9">
        <v>45978</v>
      </c>
      <c r="D12" s="10" t="s">
        <v>104</v>
      </c>
      <c r="E12" s="11" t="s">
        <v>105</v>
      </c>
      <c r="F12" s="10" t="s">
        <v>106</v>
      </c>
      <c r="G12" s="11" t="s">
        <v>107</v>
      </c>
      <c r="H12" s="11" t="s">
        <v>53</v>
      </c>
      <c r="I12" s="11" t="s">
        <v>108</v>
      </c>
      <c r="J12" s="11" t="s">
        <v>55</v>
      </c>
      <c r="K12" s="11" t="s">
        <v>56</v>
      </c>
      <c r="L12" s="11">
        <v>100</v>
      </c>
      <c r="M12" s="12">
        <v>39434.666666666701</v>
      </c>
      <c r="N12" s="12">
        <v>39434.666666666701</v>
      </c>
      <c r="O12" s="11" t="s">
        <v>38</v>
      </c>
      <c r="P12" s="11" t="s">
        <v>109</v>
      </c>
      <c r="Q12" s="9">
        <v>45822</v>
      </c>
      <c r="R12" s="9">
        <v>45838</v>
      </c>
      <c r="S12" s="11">
        <f>Table1[[#This Row],[تاريخ التفريغ]] - Table1[[#This Row],[تاريخ التحميل]]</f>
        <v>16</v>
      </c>
      <c r="T12" s="11">
        <v>2000</v>
      </c>
      <c r="U12" s="12">
        <v>2420</v>
      </c>
      <c r="V12" s="11">
        <f>T12+U12</f>
        <v>4420</v>
      </c>
      <c r="W12" s="12">
        <v>8.28571428571429</v>
      </c>
      <c r="X12" s="12">
        <v>8.28571428571429</v>
      </c>
      <c r="Y12" s="14">
        <v>260</v>
      </c>
      <c r="Z12" s="14">
        <v>410</v>
      </c>
      <c r="AA12" s="15">
        <f>SUM(Table1[[#This Row],[بدل المبيت اليوم]:[بدل السائق عن الرحلة]])</f>
        <v>670</v>
      </c>
      <c r="AB12" s="25">
        <f>Table1[[#This Row],[المسافة المقطوعة (كم)]] * 13.5</f>
        <v>59670</v>
      </c>
      <c r="AC12" s="25">
        <f>Table1[[#This Row],[المسافة المقطوعة (كم)]]/3</f>
        <v>1473.3333333333333</v>
      </c>
      <c r="AD12" s="26">
        <f>SUM(Table1[[#This Row],[مصاريف ميزان ]],Table1[[#This Row],[مصاريف كارتات ]])</f>
        <v>78869.333333333401</v>
      </c>
    </row>
    <row r="13" spans="1:30" ht="15" x14ac:dyDescent="0.2">
      <c r="A13" s="18">
        <v>12</v>
      </c>
      <c r="B13" s="19">
        <v>10634</v>
      </c>
      <c r="C13" s="9">
        <v>46010</v>
      </c>
      <c r="D13" s="20" t="s">
        <v>110</v>
      </c>
      <c r="E13" s="21" t="s">
        <v>111</v>
      </c>
      <c r="F13" s="20" t="s">
        <v>112</v>
      </c>
      <c r="G13" s="21" t="s">
        <v>113</v>
      </c>
      <c r="H13" s="21" t="s">
        <v>62</v>
      </c>
      <c r="I13" s="11" t="s">
        <v>114</v>
      </c>
      <c r="J13" s="21" t="s">
        <v>64</v>
      </c>
      <c r="K13" s="21" t="s">
        <v>115</v>
      </c>
      <c r="L13" s="21">
        <v>100</v>
      </c>
      <c r="M13" s="22">
        <v>43256.666666666701</v>
      </c>
      <c r="N13" s="22">
        <v>43256.666666666701</v>
      </c>
      <c r="O13" s="21" t="s">
        <v>38</v>
      </c>
      <c r="P13" s="21" t="s">
        <v>116</v>
      </c>
      <c r="Q13" s="23">
        <v>45823</v>
      </c>
      <c r="R13" s="23">
        <v>45830</v>
      </c>
      <c r="S13" s="21">
        <f>Table1[[#This Row],[تاريخ التفريغ]] - Table1[[#This Row],[تاريخ التحميل]]</f>
        <v>7</v>
      </c>
      <c r="T13" s="21">
        <v>2000</v>
      </c>
      <c r="U13" s="22">
        <v>2390</v>
      </c>
      <c r="V13" s="21">
        <f>T13+U13</f>
        <v>4390</v>
      </c>
      <c r="W13" s="22">
        <v>8.5714285714285694</v>
      </c>
      <c r="X13" s="22">
        <v>8.5714285714285694</v>
      </c>
      <c r="Y13" s="24">
        <v>261</v>
      </c>
      <c r="Z13" s="24">
        <v>411</v>
      </c>
      <c r="AA13" s="15">
        <f>SUM(Table1[[#This Row],[بدل المبيت اليوم]:[بدل السائق عن الرحلة]])</f>
        <v>672</v>
      </c>
      <c r="AB13" s="25">
        <f>Table1[[#This Row],[المسافة المقطوعة (كم)]] * 13.5</f>
        <v>59265</v>
      </c>
      <c r="AC13" s="25">
        <f>Table1[[#This Row],[المسافة المقطوعة (كم)]]/3</f>
        <v>1463.3333333333333</v>
      </c>
      <c r="AD13" s="26">
        <f>SUM(Table1[[#This Row],[مصاريف ميزان ]],Table1[[#This Row],[مصاريف كارتات ]])</f>
        <v>86513.333333333401</v>
      </c>
    </row>
    <row r="14" spans="1:30" ht="15" x14ac:dyDescent="0.2">
      <c r="A14" s="7">
        <v>13</v>
      </c>
      <c r="B14" s="8">
        <v>10634</v>
      </c>
      <c r="C14" s="9">
        <v>46042</v>
      </c>
      <c r="D14" s="10" t="s">
        <v>117</v>
      </c>
      <c r="E14" s="11" t="s">
        <v>118</v>
      </c>
      <c r="F14" s="10" t="s">
        <v>119</v>
      </c>
      <c r="G14" s="11" t="s">
        <v>120</v>
      </c>
      <c r="H14" s="11" t="s">
        <v>34</v>
      </c>
      <c r="I14" s="11" t="s">
        <v>121</v>
      </c>
      <c r="J14" s="11" t="s">
        <v>36</v>
      </c>
      <c r="K14" s="11" t="s">
        <v>122</v>
      </c>
      <c r="L14" s="11">
        <v>100</v>
      </c>
      <c r="M14" s="12">
        <v>47078.666666666701</v>
      </c>
      <c r="N14" s="12">
        <v>47078.666666666701</v>
      </c>
      <c r="O14" s="11" t="s">
        <v>38</v>
      </c>
      <c r="P14" s="11" t="s">
        <v>123</v>
      </c>
      <c r="Q14" s="9">
        <v>45854</v>
      </c>
      <c r="R14" s="9">
        <v>45857</v>
      </c>
      <c r="S14" s="11">
        <f>Table1[[#This Row],[تاريخ التفريغ]] - Table1[[#This Row],[تاريخ التحميل]]</f>
        <v>3</v>
      </c>
      <c r="T14" s="11">
        <v>2000</v>
      </c>
      <c r="U14" s="12">
        <v>2360</v>
      </c>
      <c r="V14" s="11">
        <f>T14+U14</f>
        <v>4360</v>
      </c>
      <c r="W14" s="12">
        <v>8.8571428571428594</v>
      </c>
      <c r="X14" s="12">
        <v>8.8571428571428594</v>
      </c>
      <c r="Y14" s="14">
        <v>262</v>
      </c>
      <c r="Z14" s="14">
        <v>412</v>
      </c>
      <c r="AA14" s="15">
        <f>SUM(Table1[[#This Row],[بدل المبيت اليوم]:[بدل السائق عن الرحلة]])</f>
        <v>674</v>
      </c>
      <c r="AB14" s="25">
        <f>Table1[[#This Row],[المسافة المقطوعة (كم)]] * 13.5</f>
        <v>58860</v>
      </c>
      <c r="AC14" s="25">
        <f>Table1[[#This Row],[المسافة المقطوعة (كم)]]/3</f>
        <v>1453.3333333333333</v>
      </c>
      <c r="AD14" s="26">
        <f>SUM(Table1[[#This Row],[مصاريف ميزان ]],Table1[[#This Row],[مصاريف كارتات ]])</f>
        <v>94157.333333333401</v>
      </c>
    </row>
    <row r="15" spans="1:30" ht="15" x14ac:dyDescent="0.2">
      <c r="A15" s="18">
        <v>14</v>
      </c>
      <c r="B15" s="19">
        <v>10634</v>
      </c>
      <c r="C15" s="9">
        <v>46074</v>
      </c>
      <c r="D15" s="20" t="s">
        <v>124</v>
      </c>
      <c r="E15" s="21" t="s">
        <v>68</v>
      </c>
      <c r="F15" s="20" t="s">
        <v>125</v>
      </c>
      <c r="G15" s="21" t="s">
        <v>126</v>
      </c>
      <c r="H15" s="21" t="s">
        <v>44</v>
      </c>
      <c r="I15" s="11" t="s">
        <v>127</v>
      </c>
      <c r="J15" s="21" t="s">
        <v>46</v>
      </c>
      <c r="K15" s="21" t="s">
        <v>78</v>
      </c>
      <c r="L15" s="21">
        <v>100</v>
      </c>
      <c r="M15" s="22">
        <v>5900.6666666666997</v>
      </c>
      <c r="N15" s="22">
        <v>5900.6666666666997</v>
      </c>
      <c r="O15" s="21" t="s">
        <v>38</v>
      </c>
      <c r="P15" s="21" t="s">
        <v>128</v>
      </c>
      <c r="Q15" s="23">
        <v>45855</v>
      </c>
      <c r="R15" s="23">
        <v>45863</v>
      </c>
      <c r="S15" s="21">
        <f>Table1[[#This Row],[تاريخ التفريغ]] - Table1[[#This Row],[تاريخ التحميل]]</f>
        <v>8</v>
      </c>
      <c r="T15" s="21">
        <v>2000</v>
      </c>
      <c r="U15" s="22">
        <v>2330</v>
      </c>
      <c r="V15" s="21">
        <f>T15+U15</f>
        <v>4330</v>
      </c>
      <c r="W15" s="22">
        <v>9.1428571428571406</v>
      </c>
      <c r="X15" s="22">
        <v>9.1428571428571406</v>
      </c>
      <c r="Y15" s="24">
        <v>263</v>
      </c>
      <c r="Z15" s="24">
        <v>413</v>
      </c>
      <c r="AA15" s="15">
        <f>SUM(Table1[[#This Row],[بدل المبيت اليوم]:[بدل السائق عن الرحلة]])</f>
        <v>676</v>
      </c>
      <c r="AB15" s="25">
        <f>Table1[[#This Row],[المسافة المقطوعة (كم)]] * 13.5</f>
        <v>58455</v>
      </c>
      <c r="AC15" s="25">
        <f>Table1[[#This Row],[المسافة المقطوعة (كم)]]/3</f>
        <v>1443.3333333333333</v>
      </c>
      <c r="AD15" s="26">
        <f>SUM(Table1[[#This Row],[مصاريف ميزان ]],Table1[[#This Row],[مصاريف كارتات ]])</f>
        <v>11801.333333333399</v>
      </c>
    </row>
    <row r="16" spans="1:30" ht="15" x14ac:dyDescent="0.2">
      <c r="A16" s="7">
        <v>15</v>
      </c>
      <c r="B16" s="8">
        <v>10634</v>
      </c>
      <c r="C16" s="9">
        <v>46106</v>
      </c>
      <c r="D16" s="10" t="s">
        <v>129</v>
      </c>
      <c r="E16" s="11" t="s">
        <v>31</v>
      </c>
      <c r="F16" s="10" t="s">
        <v>130</v>
      </c>
      <c r="G16" s="11" t="s">
        <v>131</v>
      </c>
      <c r="H16" s="11" t="s">
        <v>53</v>
      </c>
      <c r="I16" s="11" t="s">
        <v>132</v>
      </c>
      <c r="J16" s="11" t="s">
        <v>55</v>
      </c>
      <c r="K16" s="11" t="s">
        <v>56</v>
      </c>
      <c r="L16" s="11">
        <v>100</v>
      </c>
      <c r="M16" s="12">
        <v>5722.6666666666997</v>
      </c>
      <c r="N16" s="12">
        <v>5722.6666666666997</v>
      </c>
      <c r="O16" s="11" t="s">
        <v>38</v>
      </c>
      <c r="P16" s="11" t="s">
        <v>133</v>
      </c>
      <c r="Q16" s="9">
        <v>45887</v>
      </c>
      <c r="R16" s="9">
        <v>45891</v>
      </c>
      <c r="S16" s="11">
        <f>Table1[[#This Row],[تاريخ التفريغ]] - Table1[[#This Row],[تاريخ التحميل]]</f>
        <v>4</v>
      </c>
      <c r="T16" s="11">
        <v>2000</v>
      </c>
      <c r="U16" s="12">
        <v>2300</v>
      </c>
      <c r="V16" s="11">
        <f>T16+U16</f>
        <v>4300</v>
      </c>
      <c r="W16" s="12">
        <v>9.4285714285714306</v>
      </c>
      <c r="X16" s="12">
        <v>9.4285714285714306</v>
      </c>
      <c r="Y16" s="14">
        <v>264</v>
      </c>
      <c r="Z16" s="14">
        <v>414</v>
      </c>
      <c r="AA16" s="15">
        <f>SUM(Table1[[#This Row],[بدل المبيت اليوم]:[بدل السائق عن الرحلة]])</f>
        <v>678</v>
      </c>
      <c r="AB16" s="25">
        <f>Table1[[#This Row],[المسافة المقطوعة (كم)]] * 13.5</f>
        <v>58050</v>
      </c>
      <c r="AC16" s="25">
        <f>Table1[[#This Row],[المسافة المقطوعة (كم)]]/3</f>
        <v>1433.3333333333333</v>
      </c>
      <c r="AD16" s="26">
        <f>SUM(Table1[[#This Row],[مصاريف ميزان ]],Table1[[#This Row],[مصاريف كارتات ]])</f>
        <v>11445.333333333399</v>
      </c>
    </row>
    <row r="17" spans="1:30" ht="15" x14ac:dyDescent="0.2">
      <c r="A17" s="18">
        <v>16</v>
      </c>
      <c r="B17" s="19">
        <v>10634</v>
      </c>
      <c r="C17" s="9">
        <v>46138</v>
      </c>
      <c r="D17" s="20" t="s">
        <v>134</v>
      </c>
      <c r="E17" s="21" t="s">
        <v>135</v>
      </c>
      <c r="F17" s="20" t="s">
        <v>136</v>
      </c>
      <c r="G17" s="21" t="s">
        <v>137</v>
      </c>
      <c r="H17" s="21" t="s">
        <v>62</v>
      </c>
      <c r="I17" s="11" t="s">
        <v>138</v>
      </c>
      <c r="J17" s="21" t="s">
        <v>139</v>
      </c>
      <c r="K17" s="21" t="s">
        <v>140</v>
      </c>
      <c r="L17" s="21">
        <v>100</v>
      </c>
      <c r="M17" s="22">
        <v>58544.666666666701</v>
      </c>
      <c r="N17" s="22">
        <v>58544.666666666701</v>
      </c>
      <c r="O17" s="21" t="s">
        <v>38</v>
      </c>
      <c r="P17" s="21" t="s">
        <v>141</v>
      </c>
      <c r="Q17" s="23">
        <v>45888</v>
      </c>
      <c r="R17" s="23">
        <v>45891</v>
      </c>
      <c r="S17" s="21">
        <f>Table1[[#This Row],[تاريخ التفريغ]] - Table1[[#This Row],[تاريخ التحميل]]</f>
        <v>3</v>
      </c>
      <c r="T17" s="21">
        <v>2000</v>
      </c>
      <c r="U17" s="22">
        <v>2270</v>
      </c>
      <c r="V17" s="21">
        <f>T17+U17</f>
        <v>4270</v>
      </c>
      <c r="W17" s="22">
        <v>9.71428571428571</v>
      </c>
      <c r="X17" s="22">
        <v>3</v>
      </c>
      <c r="Y17" s="24">
        <v>265</v>
      </c>
      <c r="Z17" s="24">
        <v>415</v>
      </c>
      <c r="AA17" s="15">
        <f>SUM(Table1[[#This Row],[بدل المبيت اليوم]:[بدل السائق عن الرحلة]])</f>
        <v>680</v>
      </c>
      <c r="AB17" s="25">
        <f>Table1[[#This Row],[المسافة المقطوعة (كم)]] * 13.5</f>
        <v>57645</v>
      </c>
      <c r="AC17" s="25">
        <f>Table1[[#This Row],[المسافة المقطوعة (كم)]]/3</f>
        <v>1423.3333333333333</v>
      </c>
      <c r="AD17" s="26">
        <f>SUM(Table1[[#This Row],[مصاريف ميزان ]],Table1[[#This Row],[مصاريف كارتات ]])</f>
        <v>117089.3333333334</v>
      </c>
    </row>
    <row r="18" spans="1:30" ht="15" x14ac:dyDescent="0.2">
      <c r="A18" s="7">
        <v>17</v>
      </c>
      <c r="B18" s="8">
        <v>10634</v>
      </c>
      <c r="C18" s="9">
        <v>46170</v>
      </c>
      <c r="D18" s="10" t="s">
        <v>142</v>
      </c>
      <c r="E18" s="11" t="s">
        <v>143</v>
      </c>
      <c r="F18" s="10" t="s">
        <v>144</v>
      </c>
      <c r="G18" s="11" t="s">
        <v>145</v>
      </c>
      <c r="H18" s="11" t="s">
        <v>34</v>
      </c>
      <c r="I18" s="11" t="s">
        <v>146</v>
      </c>
      <c r="J18" s="11" t="s">
        <v>36</v>
      </c>
      <c r="K18" s="11" t="s">
        <v>122</v>
      </c>
      <c r="L18" s="11">
        <v>100</v>
      </c>
      <c r="M18" s="12">
        <v>6366.6666666669998</v>
      </c>
      <c r="N18" s="12">
        <v>6366.6666666669998</v>
      </c>
      <c r="O18" s="11" t="s">
        <v>38</v>
      </c>
      <c r="P18" s="11" t="s">
        <v>147</v>
      </c>
      <c r="Q18" s="9">
        <v>45920</v>
      </c>
      <c r="R18" s="9">
        <v>45926</v>
      </c>
      <c r="S18" s="11">
        <f>Table1[[#This Row],[تاريخ التفريغ]] - Table1[[#This Row],[تاريخ التحميل]]</f>
        <v>6</v>
      </c>
      <c r="T18" s="11">
        <v>2000</v>
      </c>
      <c r="U18" s="12">
        <v>2240</v>
      </c>
      <c r="V18" s="11">
        <f>T18+U18</f>
        <v>4240</v>
      </c>
      <c r="W18" s="12">
        <v>10</v>
      </c>
      <c r="X18" s="12">
        <v>10</v>
      </c>
      <c r="Y18" s="14">
        <v>266</v>
      </c>
      <c r="Z18" s="14">
        <v>416</v>
      </c>
      <c r="AA18" s="15">
        <f>SUM(Table1[[#This Row],[بدل المبيت اليوم]:[بدل السائق عن الرحلة]])</f>
        <v>682</v>
      </c>
      <c r="AB18" s="25">
        <f>Table1[[#This Row],[المسافة المقطوعة (كم)]] * 13.5</f>
        <v>57240</v>
      </c>
      <c r="AC18" s="25">
        <f>Table1[[#This Row],[المسافة المقطوعة (كم)]]/3</f>
        <v>1413.3333333333333</v>
      </c>
      <c r="AD18" s="26">
        <f>SUM(Table1[[#This Row],[مصاريف ميزان ]],Table1[[#This Row],[مصاريف كارتات ]])</f>
        <v>12733.333333334</v>
      </c>
    </row>
    <row r="19" spans="1:30" ht="15" x14ac:dyDescent="0.2">
      <c r="A19" s="18">
        <v>18</v>
      </c>
      <c r="B19" s="19">
        <v>10634</v>
      </c>
      <c r="C19" s="9">
        <v>46202</v>
      </c>
      <c r="D19" s="20" t="s">
        <v>148</v>
      </c>
      <c r="E19" s="21" t="s">
        <v>31</v>
      </c>
      <c r="F19" s="20" t="s">
        <v>149</v>
      </c>
      <c r="G19" s="21" t="s">
        <v>150</v>
      </c>
      <c r="H19" s="21" t="s">
        <v>44</v>
      </c>
      <c r="I19" s="11" t="s">
        <v>151</v>
      </c>
      <c r="J19" s="21" t="s">
        <v>46</v>
      </c>
      <c r="K19" s="21" t="s">
        <v>47</v>
      </c>
      <c r="L19" s="21">
        <v>100</v>
      </c>
      <c r="M19" s="22">
        <v>66188.666666666701</v>
      </c>
      <c r="N19" s="22">
        <v>66188.666666666701</v>
      </c>
      <c r="O19" s="21" t="s">
        <v>38</v>
      </c>
      <c r="P19" s="21" t="s">
        <v>152</v>
      </c>
      <c r="Q19" s="23">
        <v>45921</v>
      </c>
      <c r="R19" s="23">
        <v>45928</v>
      </c>
      <c r="S19" s="21">
        <f>Table1[[#This Row],[تاريخ التفريغ]] - Table1[[#This Row],[تاريخ التحميل]]</f>
        <v>7</v>
      </c>
      <c r="T19" s="21">
        <v>2000</v>
      </c>
      <c r="U19" s="22">
        <v>2210</v>
      </c>
      <c r="V19" s="21">
        <f>T19+U19</f>
        <v>4210</v>
      </c>
      <c r="W19" s="22">
        <v>10.285714285714301</v>
      </c>
      <c r="X19" s="22">
        <v>55</v>
      </c>
      <c r="Y19" s="24">
        <v>267</v>
      </c>
      <c r="Z19" s="24">
        <v>417</v>
      </c>
      <c r="AA19" s="15">
        <f>SUM(Table1[[#This Row],[بدل المبيت اليوم]:[بدل السائق عن الرحلة]])</f>
        <v>684</v>
      </c>
      <c r="AB19" s="25">
        <f>Table1[[#This Row],[المسافة المقطوعة (كم)]] * 13.5</f>
        <v>56835</v>
      </c>
      <c r="AC19" s="25">
        <f>Table1[[#This Row],[المسافة المقطوعة (كم)]]/3</f>
        <v>1403.3333333333333</v>
      </c>
      <c r="AD19" s="26">
        <f>SUM(Table1[[#This Row],[مصاريف ميزان ]],Table1[[#This Row],[مصاريف كارتات ]])</f>
        <v>132377.3333333334</v>
      </c>
    </row>
    <row r="20" spans="1:30" ht="15" x14ac:dyDescent="0.2">
      <c r="A20" s="7">
        <v>19</v>
      </c>
      <c r="B20" s="8">
        <v>10634</v>
      </c>
      <c r="C20" s="9">
        <v>46234</v>
      </c>
      <c r="D20" s="10" t="s">
        <v>153</v>
      </c>
      <c r="E20" s="11" t="s">
        <v>154</v>
      </c>
      <c r="F20" s="10" t="s">
        <v>155</v>
      </c>
      <c r="G20" s="11" t="s">
        <v>156</v>
      </c>
      <c r="H20" s="11" t="s">
        <v>53</v>
      </c>
      <c r="I20" s="11" t="s">
        <v>157</v>
      </c>
      <c r="J20" s="11" t="s">
        <v>55</v>
      </c>
      <c r="K20" s="11" t="s">
        <v>56</v>
      </c>
      <c r="L20" s="11">
        <v>100</v>
      </c>
      <c r="M20" s="12">
        <v>70010.666666666701</v>
      </c>
      <c r="N20" s="12">
        <v>70010.666666666701</v>
      </c>
      <c r="O20" s="11" t="s">
        <v>38</v>
      </c>
      <c r="P20" s="11" t="s">
        <v>158</v>
      </c>
      <c r="Q20" s="9">
        <v>45952</v>
      </c>
      <c r="R20" s="9">
        <v>45959</v>
      </c>
      <c r="S20" s="11">
        <f>Table1[[#This Row],[تاريخ التفريغ]] - Table1[[#This Row],[تاريخ التحميل]]</f>
        <v>7</v>
      </c>
      <c r="T20" s="11">
        <v>2000</v>
      </c>
      <c r="U20" s="12">
        <v>2180</v>
      </c>
      <c r="V20" s="11">
        <f>T20+U20</f>
        <v>4180</v>
      </c>
      <c r="W20" s="12">
        <v>10.5714285714286</v>
      </c>
      <c r="X20" s="12">
        <v>5</v>
      </c>
      <c r="Y20" s="14">
        <v>268</v>
      </c>
      <c r="Z20" s="14">
        <v>418</v>
      </c>
      <c r="AA20" s="15">
        <f>SUM(Table1[[#This Row],[بدل المبيت اليوم]:[بدل السائق عن الرحلة]])</f>
        <v>686</v>
      </c>
      <c r="AB20" s="25">
        <f>Table1[[#This Row],[المسافة المقطوعة (كم)]] * 13.5</f>
        <v>56430</v>
      </c>
      <c r="AC20" s="25">
        <f>Table1[[#This Row],[المسافة المقطوعة (كم)]]/3</f>
        <v>1393.3333333333333</v>
      </c>
      <c r="AD20" s="26">
        <f>SUM(Table1[[#This Row],[مصاريف ميزان ]],Table1[[#This Row],[مصاريف كارتات ]])</f>
        <v>140021.3333333334</v>
      </c>
    </row>
    <row r="21" spans="1:30" ht="15" x14ac:dyDescent="0.2">
      <c r="A21" s="18">
        <v>20</v>
      </c>
      <c r="B21" s="19">
        <v>20634</v>
      </c>
      <c r="C21" s="9">
        <v>46266</v>
      </c>
      <c r="D21" s="20" t="s">
        <v>159</v>
      </c>
      <c r="E21" s="21" t="s">
        <v>160</v>
      </c>
      <c r="F21" s="20" t="s">
        <v>161</v>
      </c>
      <c r="G21" s="21" t="s">
        <v>162</v>
      </c>
      <c r="H21" s="21" t="s">
        <v>62</v>
      </c>
      <c r="I21" s="11" t="s">
        <v>163</v>
      </c>
      <c r="J21" s="21" t="s">
        <v>139</v>
      </c>
      <c r="K21" s="21" t="s">
        <v>164</v>
      </c>
      <c r="L21" s="21">
        <v>100</v>
      </c>
      <c r="M21" s="22">
        <v>73832.666666666701</v>
      </c>
      <c r="N21" s="22">
        <v>73832.666666666701</v>
      </c>
      <c r="O21" s="21" t="s">
        <v>38</v>
      </c>
      <c r="P21" s="21" t="s">
        <v>103</v>
      </c>
      <c r="Q21" s="23">
        <v>45953</v>
      </c>
      <c r="R21" s="23">
        <v>45957</v>
      </c>
      <c r="S21" s="21">
        <f>Table1[[#This Row],[تاريخ التفريغ]] - Table1[[#This Row],[تاريخ التحميل]]</f>
        <v>4</v>
      </c>
      <c r="T21" s="21">
        <v>2000</v>
      </c>
      <c r="U21" s="22">
        <v>2150</v>
      </c>
      <c r="V21" s="21">
        <f>T21+U21</f>
        <v>4150</v>
      </c>
      <c r="W21" s="22">
        <v>10.8571428571429</v>
      </c>
      <c r="X21" s="22">
        <v>10.8571428571429</v>
      </c>
      <c r="Y21" s="24">
        <v>269</v>
      </c>
      <c r="Z21" s="24">
        <v>419</v>
      </c>
      <c r="AA21" s="15">
        <f>SUM(Table1[[#This Row],[بدل المبيت اليوم]:[بدل السائق عن الرحلة]])</f>
        <v>688</v>
      </c>
      <c r="AB21" s="25">
        <f>Table1[[#This Row],[المسافة المقطوعة (كم)]] * 13.5</f>
        <v>56025</v>
      </c>
      <c r="AC21" s="25">
        <f>Table1[[#This Row],[المسافة المقطوعة (كم)]]/3</f>
        <v>1383.3333333333333</v>
      </c>
      <c r="AD21" s="26">
        <f>SUM(Table1[[#This Row],[مصاريف ميزان ]],Table1[[#This Row],[مصاريف كارتات ]])</f>
        <v>147665.3333333334</v>
      </c>
    </row>
    <row r="22" spans="1:30" ht="15" x14ac:dyDescent="0.2">
      <c r="A22" s="7">
        <v>21</v>
      </c>
      <c r="B22" s="8">
        <v>20634</v>
      </c>
      <c r="C22" s="9">
        <v>46298</v>
      </c>
      <c r="D22" s="10" t="s">
        <v>165</v>
      </c>
      <c r="E22" s="11" t="s">
        <v>166</v>
      </c>
      <c r="F22" s="10" t="s">
        <v>167</v>
      </c>
      <c r="G22" s="11" t="s">
        <v>168</v>
      </c>
      <c r="H22" s="11" t="s">
        <v>34</v>
      </c>
      <c r="I22" s="11" t="s">
        <v>169</v>
      </c>
      <c r="J22" s="11" t="s">
        <v>36</v>
      </c>
      <c r="K22" s="11" t="s">
        <v>122</v>
      </c>
      <c r="L22" s="11">
        <v>100</v>
      </c>
      <c r="M22" s="12">
        <v>7654.6666666666997</v>
      </c>
      <c r="N22" s="12">
        <v>7654.6666666666997</v>
      </c>
      <c r="O22" s="11" t="s">
        <v>38</v>
      </c>
      <c r="P22" s="11" t="s">
        <v>85</v>
      </c>
      <c r="Q22" s="9">
        <v>45954</v>
      </c>
      <c r="R22" s="9">
        <v>45960</v>
      </c>
      <c r="S22" s="11">
        <f>Table1[[#This Row],[تاريخ التفريغ]] - Table1[[#This Row],[تاريخ التحميل]]</f>
        <v>6</v>
      </c>
      <c r="T22" s="11">
        <v>2000</v>
      </c>
      <c r="U22" s="12">
        <v>2120</v>
      </c>
      <c r="V22" s="11">
        <f>T22+U22</f>
        <v>4120</v>
      </c>
      <c r="W22" s="12">
        <v>11.1428571428571</v>
      </c>
      <c r="X22" s="12">
        <v>11.1428571428571</v>
      </c>
      <c r="Y22" s="14">
        <v>270</v>
      </c>
      <c r="Z22" s="14">
        <v>420</v>
      </c>
      <c r="AA22" s="15">
        <f>SUM(Table1[[#This Row],[بدل المبيت اليوم]:[بدل السائق عن الرحلة]])</f>
        <v>690</v>
      </c>
      <c r="AB22" s="25">
        <f>Table1[[#This Row],[المسافة المقطوعة (كم)]] * 13.5</f>
        <v>55620</v>
      </c>
      <c r="AC22" s="25">
        <f>Table1[[#This Row],[المسافة المقطوعة (كم)]]/3</f>
        <v>1373.3333333333333</v>
      </c>
      <c r="AD22" s="26">
        <f>SUM(Table1[[#This Row],[مصاريف ميزان ]],Table1[[#This Row],[مصاريف كارتات ]])</f>
        <v>15309.333333333399</v>
      </c>
    </row>
    <row r="23" spans="1:30" ht="15" x14ac:dyDescent="0.2">
      <c r="A23" s="18">
        <v>22</v>
      </c>
      <c r="B23" s="19">
        <v>20634</v>
      </c>
      <c r="C23" s="9">
        <v>46330</v>
      </c>
      <c r="D23" s="20" t="s">
        <v>170</v>
      </c>
      <c r="E23" s="21" t="s">
        <v>171</v>
      </c>
      <c r="F23" s="20" t="s">
        <v>172</v>
      </c>
      <c r="G23" s="21" t="s">
        <v>173</v>
      </c>
      <c r="H23" s="21" t="s">
        <v>44</v>
      </c>
      <c r="I23" s="11" t="s">
        <v>174</v>
      </c>
      <c r="J23" s="21" t="s">
        <v>46</v>
      </c>
      <c r="K23" s="21" t="s">
        <v>78</v>
      </c>
      <c r="L23" s="21">
        <v>100</v>
      </c>
      <c r="M23" s="22">
        <v>81476.666666666701</v>
      </c>
      <c r="N23" s="22">
        <v>81476.666666666701</v>
      </c>
      <c r="O23" s="21" t="s">
        <v>38</v>
      </c>
      <c r="P23" s="21" t="s">
        <v>175</v>
      </c>
      <c r="Q23" s="23">
        <v>45986</v>
      </c>
      <c r="R23" s="23">
        <v>45991</v>
      </c>
      <c r="S23" s="21">
        <f>Table1[[#This Row],[تاريخ التفريغ]] - Table1[[#This Row],[تاريخ التحميل]]</f>
        <v>5</v>
      </c>
      <c r="T23" s="21">
        <v>2000</v>
      </c>
      <c r="U23" s="22">
        <v>2090</v>
      </c>
      <c r="V23" s="21">
        <f>T23+U23</f>
        <v>4090</v>
      </c>
      <c r="W23" s="22">
        <v>11.4285714285714</v>
      </c>
      <c r="X23" s="22">
        <v>3</v>
      </c>
      <c r="Y23" s="24">
        <v>271</v>
      </c>
      <c r="Z23" s="24">
        <v>421</v>
      </c>
      <c r="AA23" s="15">
        <f>SUM(Table1[[#This Row],[بدل المبيت اليوم]:[بدل السائق عن الرحلة]])</f>
        <v>692</v>
      </c>
      <c r="AB23" s="25">
        <f>Table1[[#This Row],[المسافة المقطوعة (كم)]] * 13.5</f>
        <v>55215</v>
      </c>
      <c r="AC23" s="25">
        <f>Table1[[#This Row],[المسافة المقطوعة (كم)]]/3</f>
        <v>1363.3333333333333</v>
      </c>
      <c r="AD23" s="26">
        <f>SUM(Table1[[#This Row],[مصاريف ميزان ]],Table1[[#This Row],[مصاريف كارتات ]])</f>
        <v>162953.3333333334</v>
      </c>
    </row>
    <row r="24" spans="1:30" ht="15" x14ac:dyDescent="0.2">
      <c r="A24" s="7">
        <v>23</v>
      </c>
      <c r="B24" s="8">
        <v>20634</v>
      </c>
      <c r="C24" s="9">
        <v>46362</v>
      </c>
      <c r="D24" s="10" t="s">
        <v>176</v>
      </c>
      <c r="E24" s="11" t="s">
        <v>177</v>
      </c>
      <c r="F24" s="10" t="s">
        <v>178</v>
      </c>
      <c r="G24" s="11" t="s">
        <v>179</v>
      </c>
      <c r="H24" s="11" t="s">
        <v>53</v>
      </c>
      <c r="I24" s="11" t="s">
        <v>180</v>
      </c>
      <c r="J24" s="11" t="s">
        <v>55</v>
      </c>
      <c r="K24" s="11" t="s">
        <v>56</v>
      </c>
      <c r="L24" s="11">
        <v>100</v>
      </c>
      <c r="M24" s="12">
        <v>85298.666666666701</v>
      </c>
      <c r="N24" s="12">
        <v>85298.666666666701</v>
      </c>
      <c r="O24" s="11" t="s">
        <v>38</v>
      </c>
      <c r="P24" s="11" t="s">
        <v>181</v>
      </c>
      <c r="Q24" s="9">
        <v>45987</v>
      </c>
      <c r="R24" s="9">
        <v>45991</v>
      </c>
      <c r="S24" s="11">
        <f>Table1[[#This Row],[تاريخ التفريغ]] - Table1[[#This Row],[تاريخ التحميل]]</f>
        <v>4</v>
      </c>
      <c r="T24" s="11">
        <v>2000</v>
      </c>
      <c r="U24" s="12">
        <v>2060</v>
      </c>
      <c r="V24" s="11">
        <f>T24+U24</f>
        <v>4060</v>
      </c>
      <c r="W24" s="12">
        <v>11.714285714285699</v>
      </c>
      <c r="X24" s="12">
        <v>11.714285714285699</v>
      </c>
      <c r="Y24" s="14">
        <v>272</v>
      </c>
      <c r="Z24" s="14">
        <v>422</v>
      </c>
      <c r="AA24" s="15">
        <f>SUM(Table1[[#This Row],[بدل المبيت اليوم]:[بدل السائق عن الرحلة]])</f>
        <v>694</v>
      </c>
      <c r="AB24" s="25">
        <f>Table1[[#This Row],[المسافة المقطوعة (كم)]] * 13.5</f>
        <v>54810</v>
      </c>
      <c r="AC24" s="25">
        <f>Table1[[#This Row],[المسافة المقطوعة (كم)]]/3</f>
        <v>1353.3333333333333</v>
      </c>
      <c r="AD24" s="26">
        <f>SUM(Table1[[#This Row],[مصاريف ميزان ]],Table1[[#This Row],[مصاريف كارتات ]])</f>
        <v>170597.3333333334</v>
      </c>
    </row>
    <row r="25" spans="1:30" ht="15" x14ac:dyDescent="0.2">
      <c r="A25" s="18">
        <v>24</v>
      </c>
      <c r="B25" s="19">
        <v>20634</v>
      </c>
      <c r="C25" s="9">
        <v>46394</v>
      </c>
      <c r="D25" s="20" t="s">
        <v>182</v>
      </c>
      <c r="E25" s="21" t="s">
        <v>183</v>
      </c>
      <c r="F25" s="20" t="s">
        <v>184</v>
      </c>
      <c r="G25" s="21" t="s">
        <v>185</v>
      </c>
      <c r="H25" s="21" t="s">
        <v>62</v>
      </c>
      <c r="I25" s="11" t="s">
        <v>186</v>
      </c>
      <c r="J25" s="21" t="s">
        <v>139</v>
      </c>
      <c r="K25" s="21" t="s">
        <v>187</v>
      </c>
      <c r="L25" s="21">
        <v>100</v>
      </c>
      <c r="M25" s="22">
        <v>89120.666666666701</v>
      </c>
      <c r="N25" s="22">
        <v>89120.666666666701</v>
      </c>
      <c r="O25" s="21" t="s">
        <v>38</v>
      </c>
      <c r="P25" s="21" t="s">
        <v>79</v>
      </c>
      <c r="Q25" s="23">
        <v>45996</v>
      </c>
      <c r="R25" s="23">
        <v>46006</v>
      </c>
      <c r="S25" s="21">
        <f>Table1[[#This Row],[تاريخ التفريغ]] - Table1[[#This Row],[تاريخ التحميل]]</f>
        <v>10</v>
      </c>
      <c r="T25" s="21">
        <v>2000</v>
      </c>
      <c r="U25" s="22">
        <v>2030</v>
      </c>
      <c r="V25" s="21">
        <f>T25+U25</f>
        <v>4030</v>
      </c>
      <c r="W25" s="22">
        <v>12</v>
      </c>
      <c r="X25" s="22">
        <v>5</v>
      </c>
      <c r="Y25" s="24">
        <v>273</v>
      </c>
      <c r="Z25" s="24">
        <v>423</v>
      </c>
      <c r="AA25" s="15">
        <f>SUM(Table1[[#This Row],[بدل المبيت اليوم]:[بدل السائق عن الرحلة]])</f>
        <v>696</v>
      </c>
      <c r="AB25" s="25">
        <f>Table1[[#This Row],[المسافة المقطوعة (كم)]] * 13.5</f>
        <v>54405</v>
      </c>
      <c r="AC25" s="25">
        <f>Table1[[#This Row],[المسافة المقطوعة (كم)]]/3</f>
        <v>1343.3333333333333</v>
      </c>
      <c r="AD25" s="26">
        <f>SUM(Table1[[#This Row],[مصاريف ميزان ]],Table1[[#This Row],[مصاريف كارتات ]])</f>
        <v>178241.3333333334</v>
      </c>
    </row>
    <row r="26" spans="1:30" ht="15" x14ac:dyDescent="0.2">
      <c r="A26" s="7">
        <v>25</v>
      </c>
      <c r="B26" s="8">
        <v>20634</v>
      </c>
      <c r="C26" s="9">
        <v>46426</v>
      </c>
      <c r="D26" s="10" t="s">
        <v>188</v>
      </c>
      <c r="E26" s="11" t="s">
        <v>189</v>
      </c>
      <c r="F26" s="10" t="s">
        <v>190</v>
      </c>
      <c r="G26" s="11" t="s">
        <v>191</v>
      </c>
      <c r="H26" s="11" t="s">
        <v>34</v>
      </c>
      <c r="I26" s="11" t="s">
        <v>192</v>
      </c>
      <c r="J26" s="11" t="s">
        <v>36</v>
      </c>
      <c r="K26" s="11" t="s">
        <v>122</v>
      </c>
      <c r="L26" s="11">
        <v>100</v>
      </c>
      <c r="M26" s="12">
        <v>92942.666666666701</v>
      </c>
      <c r="N26" s="12">
        <v>92942.666666666701</v>
      </c>
      <c r="O26" s="11" t="s">
        <v>38</v>
      </c>
      <c r="P26" s="11" t="s">
        <v>193</v>
      </c>
      <c r="Q26" s="9">
        <v>45997</v>
      </c>
      <c r="R26" s="9">
        <v>46007</v>
      </c>
      <c r="S26" s="11">
        <f>Table1[[#This Row],[تاريخ التفريغ]] - Table1[[#This Row],[تاريخ التحميل]]</f>
        <v>10</v>
      </c>
      <c r="T26" s="11">
        <v>2000</v>
      </c>
      <c r="U26" s="12">
        <v>2000</v>
      </c>
      <c r="V26" s="11">
        <f>T26+U26</f>
        <v>4000</v>
      </c>
      <c r="W26" s="12">
        <v>12.285714285714301</v>
      </c>
      <c r="X26" s="12">
        <v>8</v>
      </c>
      <c r="Y26" s="14">
        <v>274</v>
      </c>
      <c r="Z26" s="14">
        <v>424</v>
      </c>
      <c r="AA26" s="15">
        <f>SUM(Table1[[#This Row],[بدل المبيت اليوم]:[بدل السائق عن الرحلة]])</f>
        <v>698</v>
      </c>
      <c r="AB26" s="25">
        <f>Table1[[#This Row],[المسافة المقطوعة (كم)]] * 13.5</f>
        <v>54000</v>
      </c>
      <c r="AC26" s="25">
        <f>Table1[[#This Row],[المسافة المقطوعة (كم)]]/3</f>
        <v>1333.3333333333333</v>
      </c>
      <c r="AD26" s="26">
        <f>SUM(Table1[[#This Row],[مصاريف ميزان ]],Table1[[#This Row],[مصاريف كارتات ]])</f>
        <v>185885.3333333334</v>
      </c>
    </row>
    <row r="27" spans="1:30" ht="15" x14ac:dyDescent="0.2">
      <c r="A27" s="18">
        <v>26</v>
      </c>
      <c r="B27" s="19">
        <v>22634</v>
      </c>
      <c r="C27" s="9">
        <v>46458</v>
      </c>
      <c r="D27" s="20" t="s">
        <v>194</v>
      </c>
      <c r="E27" s="21" t="s">
        <v>195</v>
      </c>
      <c r="F27" s="20" t="s">
        <v>196</v>
      </c>
      <c r="G27" s="21" t="s">
        <v>197</v>
      </c>
      <c r="H27" s="21" t="s">
        <v>44</v>
      </c>
      <c r="I27" s="11" t="s">
        <v>198</v>
      </c>
      <c r="J27" s="21" t="s">
        <v>46</v>
      </c>
      <c r="K27" s="21" t="s">
        <v>47</v>
      </c>
      <c r="L27" s="21">
        <v>100</v>
      </c>
      <c r="M27" s="22">
        <v>96764.666666666701</v>
      </c>
      <c r="N27" s="22">
        <v>96764.666666666701</v>
      </c>
      <c r="O27" s="21" t="s">
        <v>38</v>
      </c>
      <c r="P27" s="21" t="s">
        <v>199</v>
      </c>
      <c r="Q27" s="23">
        <v>45998</v>
      </c>
      <c r="R27" s="23">
        <v>46010</v>
      </c>
      <c r="S27" s="21">
        <f>Table1[[#This Row],[تاريخ التفريغ]] - Table1[[#This Row],[تاريخ التحميل]]</f>
        <v>12</v>
      </c>
      <c r="T27" s="21">
        <v>2000</v>
      </c>
      <c r="U27" s="22">
        <v>1970</v>
      </c>
      <c r="V27" s="21">
        <f>T27+U27</f>
        <v>3970</v>
      </c>
      <c r="W27" s="22">
        <v>12.5714285714286</v>
      </c>
      <c r="X27" s="22">
        <v>5</v>
      </c>
      <c r="Y27" s="24">
        <v>275</v>
      </c>
      <c r="Z27" s="24">
        <v>425</v>
      </c>
      <c r="AA27" s="15">
        <f>SUM(Table1[[#This Row],[بدل المبيت اليوم]:[بدل السائق عن الرحلة]])</f>
        <v>700</v>
      </c>
      <c r="AB27" s="25">
        <f>Table1[[#This Row],[المسافة المقطوعة (كم)]] * 13.5</f>
        <v>53595</v>
      </c>
      <c r="AC27" s="25">
        <f>Table1[[#This Row],[المسافة المقطوعة (كم)]]/3</f>
        <v>1323.3333333333333</v>
      </c>
      <c r="AD27" s="26">
        <f>SUM(Table1[[#This Row],[مصاريف ميزان ]],Table1[[#This Row],[مصاريف كارتات ]])</f>
        <v>193529.3333333334</v>
      </c>
    </row>
    <row r="28" spans="1:30" ht="15" x14ac:dyDescent="0.2">
      <c r="A28" s="7">
        <v>27</v>
      </c>
      <c r="B28" s="8">
        <v>22634</v>
      </c>
      <c r="C28" s="9">
        <v>46490</v>
      </c>
      <c r="D28" s="10" t="s">
        <v>200</v>
      </c>
      <c r="E28" s="11" t="s">
        <v>201</v>
      </c>
      <c r="F28" s="10" t="s">
        <v>202</v>
      </c>
      <c r="G28" s="11" t="s">
        <v>203</v>
      </c>
      <c r="H28" s="11" t="s">
        <v>53</v>
      </c>
      <c r="I28" s="11" t="s">
        <v>204</v>
      </c>
      <c r="J28" s="11" t="s">
        <v>55</v>
      </c>
      <c r="K28" s="11" t="s">
        <v>56</v>
      </c>
      <c r="L28" s="11">
        <v>100</v>
      </c>
      <c r="M28" s="12">
        <v>100586.66666666701</v>
      </c>
      <c r="N28" s="12">
        <v>100586.66666666701</v>
      </c>
      <c r="O28" s="11" t="s">
        <v>38</v>
      </c>
      <c r="P28" s="11" t="s">
        <v>205</v>
      </c>
      <c r="Q28" s="9">
        <v>45999</v>
      </c>
      <c r="R28" s="9">
        <v>46006</v>
      </c>
      <c r="S28" s="11">
        <f>Table1[[#This Row],[تاريخ التفريغ]] - Table1[[#This Row],[تاريخ التحميل]]</f>
        <v>7</v>
      </c>
      <c r="T28" s="11">
        <v>2000</v>
      </c>
      <c r="U28" s="12">
        <v>1940</v>
      </c>
      <c r="V28" s="11">
        <f>T28+U28</f>
        <v>3940</v>
      </c>
      <c r="W28" s="12">
        <v>12.8571428571429</v>
      </c>
      <c r="X28" s="12">
        <v>5</v>
      </c>
      <c r="Y28" s="14">
        <v>276</v>
      </c>
      <c r="Z28" s="14">
        <v>426</v>
      </c>
      <c r="AA28" s="15">
        <f>SUM(Table1[[#This Row],[بدل المبيت اليوم]:[بدل السائق عن الرحلة]])</f>
        <v>702</v>
      </c>
      <c r="AB28" s="25">
        <f>Table1[[#This Row],[المسافة المقطوعة (كم)]] * 13.5</f>
        <v>53190</v>
      </c>
      <c r="AC28" s="25">
        <f>Table1[[#This Row],[المسافة المقطوعة (كم)]]/3</f>
        <v>1313.3333333333333</v>
      </c>
      <c r="AD28" s="26">
        <f>SUM(Table1[[#This Row],[مصاريف ميزان ]],Table1[[#This Row],[مصاريف كارتات ]])</f>
        <v>201173.33333333401</v>
      </c>
    </row>
    <row r="29" spans="1:30" ht="15" x14ac:dyDescent="0.2">
      <c r="A29" s="18">
        <v>28</v>
      </c>
      <c r="B29" s="19">
        <v>22634</v>
      </c>
      <c r="C29" s="9">
        <v>46522</v>
      </c>
      <c r="D29" s="20" t="s">
        <v>206</v>
      </c>
      <c r="E29" s="21" t="s">
        <v>207</v>
      </c>
      <c r="F29" s="20" t="s">
        <v>208</v>
      </c>
      <c r="G29" s="21" t="s">
        <v>209</v>
      </c>
      <c r="H29" s="21" t="s">
        <v>62</v>
      </c>
      <c r="I29" s="11" t="s">
        <v>210</v>
      </c>
      <c r="J29" s="21" t="s">
        <v>139</v>
      </c>
      <c r="K29" s="21" t="s">
        <v>211</v>
      </c>
      <c r="L29" s="21">
        <v>100</v>
      </c>
      <c r="M29" s="22">
        <v>4408.6666666669998</v>
      </c>
      <c r="N29" s="22">
        <v>4408.6666666669998</v>
      </c>
      <c r="O29" s="21" t="s">
        <v>38</v>
      </c>
      <c r="P29" s="21" t="s">
        <v>66</v>
      </c>
      <c r="Q29" s="23">
        <v>46000</v>
      </c>
      <c r="R29" s="23">
        <v>46011</v>
      </c>
      <c r="S29" s="21">
        <f>Table1[[#This Row],[تاريخ التفريغ]] - Table1[[#This Row],[تاريخ التحميل]]</f>
        <v>11</v>
      </c>
      <c r="T29" s="21">
        <v>2000</v>
      </c>
      <c r="U29" s="22">
        <v>1910</v>
      </c>
      <c r="V29" s="21">
        <f>T29+U29</f>
        <v>3910</v>
      </c>
      <c r="W29" s="22">
        <v>13.1428571428571</v>
      </c>
      <c r="X29" s="22">
        <v>13.1428571428571</v>
      </c>
      <c r="Y29" s="24">
        <v>277</v>
      </c>
      <c r="Z29" s="24">
        <v>427</v>
      </c>
      <c r="AA29" s="15">
        <f>SUM(Table1[[#This Row],[بدل المبيت اليوم]:[بدل السائق عن الرحلة]])</f>
        <v>704</v>
      </c>
      <c r="AB29" s="25">
        <f>Table1[[#This Row],[المسافة المقطوعة (كم)]] * 13.5</f>
        <v>52785</v>
      </c>
      <c r="AC29" s="25">
        <f>Table1[[#This Row],[المسافة المقطوعة (كم)]]/3</f>
        <v>1303.3333333333333</v>
      </c>
      <c r="AD29" s="26">
        <f>SUM(Table1[[#This Row],[مصاريف ميزان ]],Table1[[#This Row],[مصاريف كارتات ]])</f>
        <v>8817.3333333339997</v>
      </c>
    </row>
    <row r="30" spans="1:30" ht="15" x14ac:dyDescent="0.2">
      <c r="A30" s="7">
        <v>29</v>
      </c>
      <c r="B30" s="8">
        <v>22634</v>
      </c>
      <c r="C30" s="9">
        <v>46554</v>
      </c>
      <c r="D30" s="10" t="s">
        <v>212</v>
      </c>
      <c r="E30" s="11" t="s">
        <v>213</v>
      </c>
      <c r="F30" s="10" t="s">
        <v>214</v>
      </c>
      <c r="G30" s="11" t="s">
        <v>215</v>
      </c>
      <c r="H30" s="11" t="s">
        <v>34</v>
      </c>
      <c r="I30" s="11" t="s">
        <v>216</v>
      </c>
      <c r="J30" s="11" t="s">
        <v>36</v>
      </c>
      <c r="K30" s="11" t="s">
        <v>122</v>
      </c>
      <c r="L30" s="11">
        <v>100</v>
      </c>
      <c r="M30" s="12">
        <v>1030.6666666670001</v>
      </c>
      <c r="N30" s="12">
        <v>1030.6666666670001</v>
      </c>
      <c r="O30" s="11" t="s">
        <v>38</v>
      </c>
      <c r="P30" s="11" t="s">
        <v>57</v>
      </c>
      <c r="Q30" s="9">
        <v>46001</v>
      </c>
      <c r="R30" s="9">
        <v>46011</v>
      </c>
      <c r="S30" s="11">
        <f>Table1[[#This Row],[تاريخ التفريغ]] - Table1[[#This Row],[تاريخ التحميل]]</f>
        <v>10</v>
      </c>
      <c r="T30" s="11">
        <v>2000</v>
      </c>
      <c r="U30" s="12">
        <v>1880</v>
      </c>
      <c r="V30" s="11">
        <f>T30+U30</f>
        <v>3880</v>
      </c>
      <c r="W30" s="12">
        <v>13.4285714285714</v>
      </c>
      <c r="X30" s="12">
        <v>33</v>
      </c>
      <c r="Y30" s="14">
        <v>278</v>
      </c>
      <c r="Z30" s="14">
        <v>428</v>
      </c>
      <c r="AA30" s="15">
        <f>SUM(Table1[[#This Row],[بدل المبيت اليوم]:[بدل السائق عن الرحلة]])</f>
        <v>706</v>
      </c>
      <c r="AB30" s="25">
        <f>Table1[[#This Row],[المسافة المقطوعة (كم)]] * 13.5</f>
        <v>52380</v>
      </c>
      <c r="AC30" s="25">
        <f>Table1[[#This Row],[المسافة المقطوعة (كم)]]/3</f>
        <v>1293.3333333333333</v>
      </c>
      <c r="AD30" s="26">
        <f>SUM(Table1[[#This Row],[مصاريف ميزان ]],Table1[[#This Row],[مصاريف كارتات ]])</f>
        <v>2061.3333333340001</v>
      </c>
    </row>
    <row r="31" spans="1:30" ht="15" x14ac:dyDescent="0.2">
      <c r="A31" s="27">
        <v>30</v>
      </c>
      <c r="B31" s="28">
        <v>32634</v>
      </c>
      <c r="C31" s="9">
        <v>46586</v>
      </c>
      <c r="D31" s="29" t="s">
        <v>217</v>
      </c>
      <c r="E31" s="30" t="s">
        <v>218</v>
      </c>
      <c r="F31" s="29" t="s">
        <v>219</v>
      </c>
      <c r="G31" s="30" t="s">
        <v>220</v>
      </c>
      <c r="H31" s="30" t="s">
        <v>44</v>
      </c>
      <c r="I31" s="11" t="s">
        <v>221</v>
      </c>
      <c r="J31" s="30" t="s">
        <v>46</v>
      </c>
      <c r="K31" s="30" t="s">
        <v>78</v>
      </c>
      <c r="L31" s="30">
        <v>100</v>
      </c>
      <c r="M31" s="31">
        <v>1200</v>
      </c>
      <c r="N31" s="31">
        <v>1000</v>
      </c>
      <c r="O31" s="30" t="s">
        <v>38</v>
      </c>
      <c r="P31" s="30" t="s">
        <v>79</v>
      </c>
      <c r="Q31" s="32">
        <v>46002</v>
      </c>
      <c r="R31" s="32">
        <v>46010</v>
      </c>
      <c r="S31" s="30">
        <f>Table1[[#This Row],[تاريخ التفريغ]] - Table1[[#This Row],[تاريخ التحميل]]</f>
        <v>8</v>
      </c>
      <c r="T31" s="30">
        <v>2000</v>
      </c>
      <c r="U31" s="31">
        <v>1850</v>
      </c>
      <c r="V31" s="30">
        <f>T31+U31</f>
        <v>3850</v>
      </c>
      <c r="W31" s="31">
        <v>13.714285714285699</v>
      </c>
      <c r="X31" s="31">
        <v>3</v>
      </c>
      <c r="Y31" s="24">
        <v>279</v>
      </c>
      <c r="Z31" s="24">
        <v>429</v>
      </c>
      <c r="AA31" s="15">
        <f>SUM(Table1[[#This Row],[بدل المبيت اليوم]:[بدل السائق عن الرحلة]])</f>
        <v>708</v>
      </c>
      <c r="AB31" s="33">
        <f>Table1[[#This Row],[المسافة المقطوعة (كم)]] * 13.5</f>
        <v>51975</v>
      </c>
      <c r="AC31" s="33">
        <f>Table1[[#This Row],[المسافة المقطوعة (كم)]]/3</f>
        <v>1283.3333333333333</v>
      </c>
      <c r="AD31" s="34">
        <f>SUM(Table1[[#This Row],[مصاريف ميزان ]],Table1[[#This Row],[مصاريف كارتات ]])</f>
        <v>2200</v>
      </c>
    </row>
    <row r="32" spans="1:30" ht="15" x14ac:dyDescent="0.2">
      <c r="A32" s="7">
        <v>31</v>
      </c>
      <c r="B32" s="8">
        <v>12634</v>
      </c>
      <c r="C32" s="9">
        <v>46618</v>
      </c>
      <c r="D32" s="10" t="s">
        <v>30</v>
      </c>
      <c r="E32" s="11" t="s">
        <v>31</v>
      </c>
      <c r="F32" s="10" t="s">
        <v>32</v>
      </c>
      <c r="G32" s="11" t="s">
        <v>33</v>
      </c>
      <c r="H32" s="11" t="s">
        <v>34</v>
      </c>
      <c r="I32" s="11" t="s">
        <v>35</v>
      </c>
      <c r="J32" s="11" t="s">
        <v>36</v>
      </c>
      <c r="K32" s="11" t="s">
        <v>37</v>
      </c>
      <c r="L32" s="11">
        <v>100</v>
      </c>
      <c r="M32" s="12">
        <v>2000</v>
      </c>
      <c r="N32" s="12">
        <v>2000</v>
      </c>
      <c r="O32" s="11" t="s">
        <v>38</v>
      </c>
      <c r="P32" s="13" t="s">
        <v>39</v>
      </c>
      <c r="Q32" s="9">
        <v>45658</v>
      </c>
      <c r="R32" s="9">
        <v>45662</v>
      </c>
      <c r="S32" s="11">
        <f>Table1[[#This Row],[تاريخ التفريغ]] - Table1[[#This Row],[تاريخ التحميل]]</f>
        <v>4</v>
      </c>
      <c r="T32" s="11">
        <v>2000</v>
      </c>
      <c r="U32" s="12">
        <v>3000</v>
      </c>
      <c r="V32" s="11">
        <f>T32+U32</f>
        <v>5000</v>
      </c>
      <c r="W32" s="12">
        <v>3</v>
      </c>
      <c r="X32" s="12">
        <v>3</v>
      </c>
      <c r="Y32" s="14">
        <v>280</v>
      </c>
      <c r="Z32" s="14">
        <v>430</v>
      </c>
      <c r="AA32" s="15">
        <f>SUM(Table1[[#This Row],[بدل المبيت اليوم]:[بدل السائق عن الرحلة]])</f>
        <v>710</v>
      </c>
      <c r="AB32" s="16">
        <f>Table1[[#This Row],[المسافة المقطوعة (كم)]] * 13.5</f>
        <v>67500</v>
      </c>
      <c r="AC32" s="16">
        <f>Table1[[#This Row],[المسافة المقطوعة (كم)]]/3</f>
        <v>1666.6666666666667</v>
      </c>
      <c r="AD32" s="17">
        <f>SUM(Table1[[#This Row],[مصاريف ميزان ]],Table1[[#This Row],[مصاريف كارتات ]])</f>
        <v>4000</v>
      </c>
    </row>
    <row r="33" spans="1:30" ht="15" x14ac:dyDescent="0.2">
      <c r="A33" s="18">
        <v>32</v>
      </c>
      <c r="B33" s="19">
        <v>22634</v>
      </c>
      <c r="C33" s="9">
        <v>46650</v>
      </c>
      <c r="D33" s="20" t="s">
        <v>40</v>
      </c>
      <c r="E33" s="21" t="s">
        <v>41</v>
      </c>
      <c r="F33" s="20" t="s">
        <v>42</v>
      </c>
      <c r="G33" s="21" t="s">
        <v>43</v>
      </c>
      <c r="H33" s="21" t="s">
        <v>44</v>
      </c>
      <c r="I33" s="11" t="s">
        <v>45</v>
      </c>
      <c r="J33" s="21" t="s">
        <v>46</v>
      </c>
      <c r="K33" s="21" t="s">
        <v>47</v>
      </c>
      <c r="L33" s="21">
        <v>100</v>
      </c>
      <c r="M33" s="31">
        <v>2800</v>
      </c>
      <c r="N33" s="31">
        <v>3000</v>
      </c>
      <c r="O33" s="21" t="s">
        <v>38</v>
      </c>
      <c r="P33" s="21" t="s">
        <v>48</v>
      </c>
      <c r="Q33" s="23">
        <v>45659</v>
      </c>
      <c r="R33" s="23">
        <v>45660</v>
      </c>
      <c r="S33" s="21">
        <f>Table1[[#This Row],[تاريخ التفريغ]] - Table1[[#This Row],[تاريخ التحميل]]</f>
        <v>1</v>
      </c>
      <c r="T33" s="21">
        <v>2000</v>
      </c>
      <c r="U33" s="22">
        <v>2500</v>
      </c>
      <c r="V33" s="21">
        <f>T33+U33</f>
        <v>4500</v>
      </c>
      <c r="W33" s="22">
        <v>6</v>
      </c>
      <c r="X33" s="22">
        <v>6</v>
      </c>
      <c r="Y33" s="24">
        <v>281</v>
      </c>
      <c r="Z33" s="24">
        <v>431</v>
      </c>
      <c r="AA33" s="15">
        <f>SUM(Table1[[#This Row],[بدل المبيت اليوم]:[بدل السائق عن الرحلة]])</f>
        <v>712</v>
      </c>
      <c r="AB33" s="25">
        <f>Table1[[#This Row],[المسافة المقطوعة (كم)]] * 13.5</f>
        <v>60750</v>
      </c>
      <c r="AC33" s="25">
        <f>Table1[[#This Row],[المسافة المقطوعة (كم)]]/3</f>
        <v>1500</v>
      </c>
      <c r="AD33" s="26">
        <f>SUM(Table1[[#This Row],[مصاريف ميزان ]],Table1[[#This Row],[مصاريف كارتات ]])</f>
        <v>5800</v>
      </c>
    </row>
    <row r="34" spans="1:30" ht="15" x14ac:dyDescent="0.2">
      <c r="A34" s="7">
        <v>33</v>
      </c>
      <c r="B34" s="8">
        <v>32634</v>
      </c>
      <c r="C34" s="9">
        <v>46682</v>
      </c>
      <c r="D34" s="10" t="s">
        <v>49</v>
      </c>
      <c r="E34" s="11" t="s">
        <v>50</v>
      </c>
      <c r="F34" s="10" t="s">
        <v>51</v>
      </c>
      <c r="G34" s="11" t="s">
        <v>52</v>
      </c>
      <c r="H34" s="11" t="s">
        <v>53</v>
      </c>
      <c r="I34" s="11" t="s">
        <v>54</v>
      </c>
      <c r="J34" s="11" t="s">
        <v>55</v>
      </c>
      <c r="K34" s="11" t="s">
        <v>56</v>
      </c>
      <c r="L34" s="11">
        <v>100</v>
      </c>
      <c r="M34" s="12">
        <v>3600</v>
      </c>
      <c r="N34" s="12">
        <v>4000</v>
      </c>
      <c r="O34" s="11" t="s">
        <v>38</v>
      </c>
      <c r="P34" s="11" t="s">
        <v>57</v>
      </c>
      <c r="Q34" s="9">
        <v>45689</v>
      </c>
      <c r="R34" s="9">
        <v>45694</v>
      </c>
      <c r="S34" s="11">
        <f>Table1[[#This Row],[تاريخ التفريغ]] - Table1[[#This Row],[تاريخ التحميل]]</f>
        <v>5</v>
      </c>
      <c r="T34" s="11">
        <v>2000</v>
      </c>
      <c r="U34" s="12">
        <v>2200</v>
      </c>
      <c r="V34" s="11">
        <f>T34+U34</f>
        <v>4200</v>
      </c>
      <c r="W34" s="12">
        <v>8</v>
      </c>
      <c r="X34" s="12">
        <v>8</v>
      </c>
      <c r="Y34" s="14">
        <v>282</v>
      </c>
      <c r="Z34" s="14">
        <v>432</v>
      </c>
      <c r="AA34" s="15">
        <f>SUM(Table1[[#This Row],[بدل المبيت اليوم]:[بدل السائق عن الرحلة]])</f>
        <v>714</v>
      </c>
      <c r="AB34" s="25">
        <f>Table1[[#This Row],[المسافة المقطوعة (كم)]] * 13.5</f>
        <v>56700</v>
      </c>
      <c r="AC34" s="25">
        <f>Table1[[#This Row],[المسافة المقطوعة (كم)]]/3</f>
        <v>1400</v>
      </c>
      <c r="AD34" s="26">
        <f>SUM(Table1[[#This Row],[مصاريف ميزان ]],Table1[[#This Row],[مصاريف كارتات ]])</f>
        <v>7600</v>
      </c>
    </row>
    <row r="35" spans="1:30" ht="15" x14ac:dyDescent="0.2">
      <c r="A35" s="18">
        <v>34</v>
      </c>
      <c r="B35" s="19">
        <v>42634</v>
      </c>
      <c r="C35" s="9">
        <v>46714</v>
      </c>
      <c r="D35" s="20" t="s">
        <v>58</v>
      </c>
      <c r="E35" s="21" t="s">
        <v>59</v>
      </c>
      <c r="F35" s="20" t="s">
        <v>60</v>
      </c>
      <c r="G35" s="21" t="s">
        <v>61</v>
      </c>
      <c r="H35" s="21" t="s">
        <v>62</v>
      </c>
      <c r="I35" s="11" t="s">
        <v>63</v>
      </c>
      <c r="J35" s="21" t="s">
        <v>64</v>
      </c>
      <c r="K35" s="21" t="s">
        <v>65</v>
      </c>
      <c r="L35" s="21">
        <v>100</v>
      </c>
      <c r="M35" s="31">
        <v>4400</v>
      </c>
      <c r="N35" s="31">
        <v>5000</v>
      </c>
      <c r="O35" s="21" t="s">
        <v>38</v>
      </c>
      <c r="P35" s="21" t="s">
        <v>66</v>
      </c>
      <c r="Q35" s="23">
        <v>45690</v>
      </c>
      <c r="R35" s="23">
        <v>45694</v>
      </c>
      <c r="S35" s="21">
        <f>Table1[[#This Row],[تاريخ التفريغ]] - Table1[[#This Row],[تاريخ التحميل]]</f>
        <v>4</v>
      </c>
      <c r="T35" s="21">
        <v>2000</v>
      </c>
      <c r="U35" s="22">
        <v>3000</v>
      </c>
      <c r="V35" s="21">
        <f>T35+U35</f>
        <v>5000</v>
      </c>
      <c r="W35" s="22">
        <v>7</v>
      </c>
      <c r="X35" s="22">
        <v>7</v>
      </c>
      <c r="Y35" s="24">
        <v>283</v>
      </c>
      <c r="Z35" s="24">
        <v>433</v>
      </c>
      <c r="AA35" s="15">
        <f>SUM(Table1[[#This Row],[بدل المبيت اليوم]:[بدل السائق عن الرحلة]])</f>
        <v>716</v>
      </c>
      <c r="AB35" s="25">
        <f>Table1[[#This Row],[المسافة المقطوعة (كم)]] * 13.5</f>
        <v>67500</v>
      </c>
      <c r="AC35" s="25">
        <f>Table1[[#This Row],[المسافة المقطوعة (كم)]]/3</f>
        <v>1666.6666666666667</v>
      </c>
      <c r="AD35" s="26">
        <f>SUM(Table1[[#This Row],[مصاريف ميزان ]],Table1[[#This Row],[مصاريف كارتات ]])</f>
        <v>9400</v>
      </c>
    </row>
    <row r="36" spans="1:30" ht="15" x14ac:dyDescent="0.2">
      <c r="A36" s="7">
        <v>35</v>
      </c>
      <c r="B36" s="8">
        <v>52634</v>
      </c>
      <c r="C36" s="9">
        <v>46746</v>
      </c>
      <c r="D36" s="10" t="s">
        <v>67</v>
      </c>
      <c r="E36" s="11" t="s">
        <v>68</v>
      </c>
      <c r="F36" s="10" t="s">
        <v>69</v>
      </c>
      <c r="G36" s="11" t="s">
        <v>70</v>
      </c>
      <c r="H36" s="11" t="s">
        <v>34</v>
      </c>
      <c r="I36" s="11" t="s">
        <v>71</v>
      </c>
      <c r="J36" s="11" t="s">
        <v>36</v>
      </c>
      <c r="K36" s="11" t="s">
        <v>37</v>
      </c>
      <c r="L36" s="11">
        <v>100</v>
      </c>
      <c r="M36" s="12">
        <v>5200</v>
      </c>
      <c r="N36" s="12">
        <v>6000</v>
      </c>
      <c r="O36" s="11" t="s">
        <v>38</v>
      </c>
      <c r="P36" s="11" t="s">
        <v>72</v>
      </c>
      <c r="Q36" s="9">
        <v>45724</v>
      </c>
      <c r="R36" s="9">
        <v>45727</v>
      </c>
      <c r="S36" s="11">
        <f>Table1[[#This Row],[تاريخ التفريغ]] - Table1[[#This Row],[تاريخ التحميل]]</f>
        <v>3</v>
      </c>
      <c r="T36" s="11">
        <v>2000</v>
      </c>
      <c r="U36" s="12">
        <v>2600</v>
      </c>
      <c r="V36" s="11">
        <f>T36+U36</f>
        <v>4600</v>
      </c>
      <c r="W36" s="12">
        <v>7</v>
      </c>
      <c r="X36" s="12">
        <v>7</v>
      </c>
      <c r="Y36" s="14">
        <v>284</v>
      </c>
      <c r="Z36" s="14">
        <v>434</v>
      </c>
      <c r="AA36" s="15">
        <f>SUM(Table1[[#This Row],[بدل المبيت اليوم]:[بدل السائق عن الرحلة]])</f>
        <v>718</v>
      </c>
      <c r="AB36" s="25">
        <f>Table1[[#This Row],[المسافة المقطوعة (كم)]] * 13.5</f>
        <v>62100</v>
      </c>
      <c r="AC36" s="25">
        <f>Table1[[#This Row],[المسافة المقطوعة (كم)]]/3</f>
        <v>1533.3333333333333</v>
      </c>
      <c r="AD36" s="26">
        <f>SUM(Table1[[#This Row],[مصاريف ميزان ]],Table1[[#This Row],[مصاريف كارتات ]])</f>
        <v>11200</v>
      </c>
    </row>
    <row r="37" spans="1:30" ht="15" x14ac:dyDescent="0.2">
      <c r="A37" s="18">
        <v>36</v>
      </c>
      <c r="B37" s="19">
        <v>62634</v>
      </c>
      <c r="C37" s="9">
        <v>46778</v>
      </c>
      <c r="D37" s="20" t="s">
        <v>73</v>
      </c>
      <c r="E37" s="21" t="s">
        <v>74</v>
      </c>
      <c r="F37" s="20" t="s">
        <v>75</v>
      </c>
      <c r="G37" s="21" t="s">
        <v>76</v>
      </c>
      <c r="H37" s="21" t="s">
        <v>44</v>
      </c>
      <c r="I37" s="11" t="s">
        <v>77</v>
      </c>
      <c r="J37" s="21" t="s">
        <v>46</v>
      </c>
      <c r="K37" s="21" t="s">
        <v>78</v>
      </c>
      <c r="L37" s="21">
        <v>100</v>
      </c>
      <c r="M37" s="31">
        <v>6000</v>
      </c>
      <c r="N37" s="31">
        <v>7000</v>
      </c>
      <c r="O37" s="21" t="s">
        <v>38</v>
      </c>
      <c r="P37" s="21" t="s">
        <v>79</v>
      </c>
      <c r="Q37" s="23">
        <v>45725</v>
      </c>
      <c r="R37" s="23">
        <v>45739</v>
      </c>
      <c r="S37" s="21">
        <f>Table1[[#This Row],[تاريخ التفريغ]] - Table1[[#This Row],[تاريخ التحميل]]</f>
        <v>14</v>
      </c>
      <c r="T37" s="21">
        <v>2000</v>
      </c>
      <c r="U37" s="22">
        <v>2570</v>
      </c>
      <c r="V37" s="21">
        <f>T37+U37</f>
        <v>4570</v>
      </c>
      <c r="W37" s="22">
        <v>9</v>
      </c>
      <c r="X37" s="22">
        <v>9</v>
      </c>
      <c r="Y37" s="24">
        <v>285</v>
      </c>
      <c r="Z37" s="24">
        <v>435</v>
      </c>
      <c r="AA37" s="15">
        <f>SUM(Table1[[#This Row],[بدل المبيت اليوم]:[بدل السائق عن الرحلة]])</f>
        <v>720</v>
      </c>
      <c r="AB37" s="25">
        <f>Table1[[#This Row],[المسافة المقطوعة (كم)]] * 13.5</f>
        <v>61695</v>
      </c>
      <c r="AC37" s="25">
        <f>Table1[[#This Row],[المسافة المقطوعة (كم)]]/3</f>
        <v>1523.3333333333333</v>
      </c>
      <c r="AD37" s="26">
        <f>SUM(Table1[[#This Row],[مصاريف ميزان ]],Table1[[#This Row],[مصاريف كارتات ]])</f>
        <v>13000</v>
      </c>
    </row>
    <row r="38" spans="1:30" ht="15" x14ac:dyDescent="0.2">
      <c r="A38" s="7">
        <v>37</v>
      </c>
      <c r="B38" s="8">
        <v>70645</v>
      </c>
      <c r="C38" s="9">
        <v>46810</v>
      </c>
      <c r="D38" s="10" t="s">
        <v>80</v>
      </c>
      <c r="E38" s="11" t="s">
        <v>81</v>
      </c>
      <c r="F38" s="10" t="s">
        <v>82</v>
      </c>
      <c r="G38" s="11" t="s">
        <v>83</v>
      </c>
      <c r="H38" s="11" t="s">
        <v>53</v>
      </c>
      <c r="I38" s="11" t="s">
        <v>84</v>
      </c>
      <c r="J38" s="11" t="s">
        <v>55</v>
      </c>
      <c r="K38" s="11" t="s">
        <v>56</v>
      </c>
      <c r="L38" s="11">
        <v>100</v>
      </c>
      <c r="M38" s="12">
        <v>6800</v>
      </c>
      <c r="N38" s="12">
        <v>8000</v>
      </c>
      <c r="O38" s="11" t="s">
        <v>38</v>
      </c>
      <c r="P38" s="11" t="s">
        <v>85</v>
      </c>
      <c r="Q38" s="9">
        <v>45757</v>
      </c>
      <c r="R38" s="9">
        <v>45763</v>
      </c>
      <c r="S38" s="11">
        <f>Table1[[#This Row],[تاريخ التفريغ]] - Table1[[#This Row],[تاريخ التحميل]]</f>
        <v>6</v>
      </c>
      <c r="T38" s="11">
        <v>2000</v>
      </c>
      <c r="U38" s="12">
        <v>2540</v>
      </c>
      <c r="V38" s="11">
        <f>T38+U38</f>
        <v>4540</v>
      </c>
      <c r="W38" s="12">
        <v>4</v>
      </c>
      <c r="X38" s="12">
        <v>4</v>
      </c>
      <c r="Y38" s="14">
        <v>286</v>
      </c>
      <c r="Z38" s="14">
        <v>436</v>
      </c>
      <c r="AA38" s="15">
        <f>SUM(Table1[[#This Row],[بدل المبيت اليوم]:[بدل السائق عن الرحلة]])</f>
        <v>722</v>
      </c>
      <c r="AB38" s="25">
        <f>Table1[[#This Row],[المسافة المقطوعة (كم)]] * 13.5</f>
        <v>61290</v>
      </c>
      <c r="AC38" s="25">
        <f>Table1[[#This Row],[المسافة المقطوعة (كم)]]/3</f>
        <v>1513.3333333333333</v>
      </c>
      <c r="AD38" s="26">
        <f>SUM(Table1[[#This Row],[مصاريف ميزان ]],Table1[[#This Row],[مصاريف كارتات ]])</f>
        <v>14800</v>
      </c>
    </row>
    <row r="39" spans="1:30" ht="15" x14ac:dyDescent="0.2">
      <c r="A39" s="18">
        <v>38</v>
      </c>
      <c r="B39" s="19">
        <v>86345</v>
      </c>
      <c r="C39" s="9">
        <v>46842</v>
      </c>
      <c r="D39" s="20" t="s">
        <v>86</v>
      </c>
      <c r="E39" s="21" t="s">
        <v>87</v>
      </c>
      <c r="F39" s="20" t="s">
        <v>88</v>
      </c>
      <c r="G39" s="21" t="s">
        <v>89</v>
      </c>
      <c r="H39" s="21" t="s">
        <v>62</v>
      </c>
      <c r="I39" s="11" t="s">
        <v>90</v>
      </c>
      <c r="J39" s="21" t="s">
        <v>64</v>
      </c>
      <c r="K39" s="21" t="s">
        <v>91</v>
      </c>
      <c r="L39" s="21">
        <v>100</v>
      </c>
      <c r="M39" s="31">
        <v>7600</v>
      </c>
      <c r="N39" s="31">
        <v>9000</v>
      </c>
      <c r="O39" s="21" t="s">
        <v>38</v>
      </c>
      <c r="P39" s="21" t="s">
        <v>92</v>
      </c>
      <c r="Q39" s="23">
        <v>45758</v>
      </c>
      <c r="R39" s="23">
        <v>45764</v>
      </c>
      <c r="S39" s="21">
        <f>Table1[[#This Row],[تاريخ التفريغ]] - Table1[[#This Row],[تاريخ التحميل]]</f>
        <v>6</v>
      </c>
      <c r="T39" s="21">
        <v>2000</v>
      </c>
      <c r="U39" s="22">
        <v>2510</v>
      </c>
      <c r="V39" s="21">
        <f>T39+U39</f>
        <v>4510</v>
      </c>
      <c r="W39" s="22">
        <v>7.4285714285714297</v>
      </c>
      <c r="X39" s="22">
        <v>7.4285714285714297</v>
      </c>
      <c r="Y39" s="24">
        <v>287</v>
      </c>
      <c r="Z39" s="24">
        <v>437</v>
      </c>
      <c r="AA39" s="15">
        <f>SUM(Table1[[#This Row],[بدل المبيت اليوم]:[بدل السائق عن الرحلة]])</f>
        <v>724</v>
      </c>
      <c r="AB39" s="25">
        <f>Table1[[#This Row],[المسافة المقطوعة (كم)]] * 13.5</f>
        <v>60885</v>
      </c>
      <c r="AC39" s="25">
        <f>Table1[[#This Row],[المسافة المقطوعة (كم)]]/3</f>
        <v>1503.3333333333333</v>
      </c>
      <c r="AD39" s="26">
        <f>SUM(Table1[[#This Row],[مصاريف ميزان ]],Table1[[#This Row],[مصاريف كارتات ]])</f>
        <v>16600</v>
      </c>
    </row>
    <row r="40" spans="1:30" ht="15" x14ac:dyDescent="0.2">
      <c r="A40" s="7">
        <v>39</v>
      </c>
      <c r="B40" s="8">
        <v>90645</v>
      </c>
      <c r="C40" s="9">
        <v>46874</v>
      </c>
      <c r="D40" s="10" t="s">
        <v>93</v>
      </c>
      <c r="E40" s="11" t="s">
        <v>31</v>
      </c>
      <c r="F40" s="10" t="s">
        <v>94</v>
      </c>
      <c r="G40" s="11" t="s">
        <v>95</v>
      </c>
      <c r="H40" s="11" t="s">
        <v>34</v>
      </c>
      <c r="I40" s="11" t="s">
        <v>96</v>
      </c>
      <c r="J40" s="11" t="s">
        <v>36</v>
      </c>
      <c r="K40" s="11" t="s">
        <v>37</v>
      </c>
      <c r="L40" s="11">
        <v>100</v>
      </c>
      <c r="M40" s="12">
        <v>8400</v>
      </c>
      <c r="N40" s="12">
        <v>10000</v>
      </c>
      <c r="O40" s="11" t="s">
        <v>38</v>
      </c>
      <c r="P40" s="11" t="s">
        <v>97</v>
      </c>
      <c r="Q40" s="9">
        <v>45789</v>
      </c>
      <c r="R40" s="9">
        <v>45800</v>
      </c>
      <c r="S40" s="11">
        <f>Table1[[#This Row],[تاريخ التفريغ]] - Table1[[#This Row],[تاريخ التحميل]]</f>
        <v>11</v>
      </c>
      <c r="T40" s="11">
        <v>2000</v>
      </c>
      <c r="U40" s="12">
        <v>2480</v>
      </c>
      <c r="V40" s="11">
        <f>T40+U40</f>
        <v>4480</v>
      </c>
      <c r="W40" s="12">
        <v>7.71428571428571</v>
      </c>
      <c r="X40" s="12">
        <v>7.71428571428571</v>
      </c>
      <c r="Y40" s="14">
        <v>288</v>
      </c>
      <c r="Z40" s="14">
        <v>438</v>
      </c>
      <c r="AA40" s="15">
        <f>SUM(Table1[[#This Row],[بدل المبيت اليوم]:[بدل السائق عن الرحلة]])</f>
        <v>726</v>
      </c>
      <c r="AB40" s="25">
        <f>Table1[[#This Row],[المسافة المقطوعة (كم)]] * 13.5</f>
        <v>60480</v>
      </c>
      <c r="AC40" s="25">
        <f>Table1[[#This Row],[المسافة المقطوعة (كم)]]/3</f>
        <v>1493.3333333333333</v>
      </c>
      <c r="AD40" s="26">
        <f>SUM(Table1[[#This Row],[مصاريف ميزان ]],Table1[[#This Row],[مصاريف كارتات ]])</f>
        <v>18400</v>
      </c>
    </row>
    <row r="41" spans="1:30" ht="15" x14ac:dyDescent="0.2">
      <c r="A41" s="18">
        <v>40</v>
      </c>
      <c r="B41" s="19">
        <v>10634</v>
      </c>
      <c r="C41" s="9">
        <v>46906</v>
      </c>
      <c r="D41" s="20" t="s">
        <v>98</v>
      </c>
      <c r="E41" s="21" t="s">
        <v>99</v>
      </c>
      <c r="F41" s="20" t="s">
        <v>100</v>
      </c>
      <c r="G41" s="21" t="s">
        <v>101</v>
      </c>
      <c r="H41" s="21" t="s">
        <v>44</v>
      </c>
      <c r="I41" s="11" t="s">
        <v>102</v>
      </c>
      <c r="J41" s="21" t="s">
        <v>46</v>
      </c>
      <c r="K41" s="21" t="s">
        <v>47</v>
      </c>
      <c r="L41" s="21">
        <v>100</v>
      </c>
      <c r="M41" s="31">
        <v>9200</v>
      </c>
      <c r="N41" s="31">
        <v>11000</v>
      </c>
      <c r="O41" s="21" t="s">
        <v>38</v>
      </c>
      <c r="P41" s="21" t="s">
        <v>103</v>
      </c>
      <c r="Q41" s="23">
        <v>45790</v>
      </c>
      <c r="R41" s="23">
        <v>45796</v>
      </c>
      <c r="S41" s="21">
        <f>Table1[[#This Row],[تاريخ التفريغ]] - Table1[[#This Row],[تاريخ التحميل]]</f>
        <v>6</v>
      </c>
      <c r="T41" s="21">
        <v>2000</v>
      </c>
      <c r="U41" s="22">
        <v>2450</v>
      </c>
      <c r="V41" s="21">
        <f>T41+U41</f>
        <v>4450</v>
      </c>
      <c r="W41" s="22">
        <v>8</v>
      </c>
      <c r="X41" s="22">
        <v>8</v>
      </c>
      <c r="Y41" s="24">
        <v>289</v>
      </c>
      <c r="Z41" s="24">
        <v>439</v>
      </c>
      <c r="AA41" s="15">
        <f>SUM(Table1[[#This Row],[بدل المبيت اليوم]:[بدل السائق عن الرحلة]])</f>
        <v>728</v>
      </c>
      <c r="AB41" s="25">
        <f>Table1[[#This Row],[المسافة المقطوعة (كم)]] * 13.5</f>
        <v>60075</v>
      </c>
      <c r="AC41" s="25">
        <f>Table1[[#This Row],[المسافة المقطوعة (كم)]]/3</f>
        <v>1483.3333333333333</v>
      </c>
      <c r="AD41" s="26">
        <f>SUM(Table1[[#This Row],[مصاريف ميزان ]],Table1[[#This Row],[مصاريف كارتات ]])</f>
        <v>20200</v>
      </c>
    </row>
    <row r="42" spans="1:30" ht="15" x14ac:dyDescent="0.2">
      <c r="A42" s="7">
        <v>41</v>
      </c>
      <c r="B42" s="8">
        <v>10634</v>
      </c>
      <c r="C42" s="9">
        <v>46938</v>
      </c>
      <c r="D42" s="10" t="s">
        <v>104</v>
      </c>
      <c r="E42" s="11" t="s">
        <v>105</v>
      </c>
      <c r="F42" s="10" t="s">
        <v>106</v>
      </c>
      <c r="G42" s="11" t="s">
        <v>107</v>
      </c>
      <c r="H42" s="11" t="s">
        <v>53</v>
      </c>
      <c r="I42" s="11" t="s">
        <v>108</v>
      </c>
      <c r="J42" s="11" t="s">
        <v>55</v>
      </c>
      <c r="K42" s="11" t="s">
        <v>56</v>
      </c>
      <c r="L42" s="11">
        <v>100</v>
      </c>
      <c r="M42" s="12">
        <v>10000</v>
      </c>
      <c r="N42" s="12">
        <v>12000</v>
      </c>
      <c r="O42" s="11" t="s">
        <v>38</v>
      </c>
      <c r="P42" s="11" t="s">
        <v>109</v>
      </c>
      <c r="Q42" s="9">
        <v>45822</v>
      </c>
      <c r="R42" s="9">
        <v>45838</v>
      </c>
      <c r="S42" s="11">
        <f>Table1[[#This Row],[تاريخ التفريغ]] - Table1[[#This Row],[تاريخ التحميل]]</f>
        <v>16</v>
      </c>
      <c r="T42" s="11">
        <v>2000</v>
      </c>
      <c r="U42" s="12">
        <v>2420</v>
      </c>
      <c r="V42" s="11">
        <f>T42+U42</f>
        <v>4420</v>
      </c>
      <c r="W42" s="12">
        <v>8.28571428571429</v>
      </c>
      <c r="X42" s="12">
        <v>8.28571428571429</v>
      </c>
      <c r="Y42" s="14">
        <v>290</v>
      </c>
      <c r="Z42" s="14">
        <v>440</v>
      </c>
      <c r="AA42" s="15">
        <f>SUM(Table1[[#This Row],[بدل المبيت اليوم]:[بدل السائق عن الرحلة]])</f>
        <v>730</v>
      </c>
      <c r="AB42" s="25">
        <f>Table1[[#This Row],[المسافة المقطوعة (كم)]] * 13.5</f>
        <v>59670</v>
      </c>
      <c r="AC42" s="25">
        <f>Table1[[#This Row],[المسافة المقطوعة (كم)]]/3</f>
        <v>1473.3333333333333</v>
      </c>
      <c r="AD42" s="26">
        <f>SUM(Table1[[#This Row],[مصاريف ميزان ]],Table1[[#This Row],[مصاريف كارتات ]])</f>
        <v>22000</v>
      </c>
    </row>
    <row r="43" spans="1:30" ht="15" x14ac:dyDescent="0.2">
      <c r="A43" s="18">
        <v>42</v>
      </c>
      <c r="B43" s="19">
        <v>10634</v>
      </c>
      <c r="C43" s="9">
        <v>46970</v>
      </c>
      <c r="D43" s="20" t="s">
        <v>110</v>
      </c>
      <c r="E43" s="21" t="s">
        <v>111</v>
      </c>
      <c r="F43" s="20" t="s">
        <v>112</v>
      </c>
      <c r="G43" s="21" t="s">
        <v>113</v>
      </c>
      <c r="H43" s="21" t="s">
        <v>62</v>
      </c>
      <c r="I43" s="11" t="s">
        <v>114</v>
      </c>
      <c r="J43" s="21" t="s">
        <v>64</v>
      </c>
      <c r="K43" s="21" t="s">
        <v>115</v>
      </c>
      <c r="L43" s="21">
        <v>100</v>
      </c>
      <c r="M43" s="31">
        <v>10800</v>
      </c>
      <c r="N43" s="31">
        <v>13000</v>
      </c>
      <c r="O43" s="21" t="s">
        <v>38</v>
      </c>
      <c r="P43" s="21" t="s">
        <v>116</v>
      </c>
      <c r="Q43" s="23">
        <v>45823</v>
      </c>
      <c r="R43" s="23">
        <v>45830</v>
      </c>
      <c r="S43" s="21">
        <f>Table1[[#This Row],[تاريخ التفريغ]] - Table1[[#This Row],[تاريخ التحميل]]</f>
        <v>7</v>
      </c>
      <c r="T43" s="21">
        <v>2000</v>
      </c>
      <c r="U43" s="22">
        <v>2390</v>
      </c>
      <c r="V43" s="21">
        <f>T43+U43</f>
        <v>4390</v>
      </c>
      <c r="W43" s="22">
        <v>8.5714285714285694</v>
      </c>
      <c r="X43" s="22">
        <v>8.5714285714285694</v>
      </c>
      <c r="Y43" s="24">
        <v>291</v>
      </c>
      <c r="Z43" s="24">
        <v>441</v>
      </c>
      <c r="AA43" s="15">
        <f>SUM(Table1[[#This Row],[بدل المبيت اليوم]:[بدل السائق عن الرحلة]])</f>
        <v>732</v>
      </c>
      <c r="AB43" s="25">
        <f>Table1[[#This Row],[المسافة المقطوعة (كم)]] * 13.5</f>
        <v>59265</v>
      </c>
      <c r="AC43" s="25">
        <f>Table1[[#This Row],[المسافة المقطوعة (كم)]]/3</f>
        <v>1463.3333333333333</v>
      </c>
      <c r="AD43" s="26">
        <f>SUM(Table1[[#This Row],[مصاريف ميزان ]],Table1[[#This Row],[مصاريف كارتات ]])</f>
        <v>23800</v>
      </c>
    </row>
    <row r="44" spans="1:30" ht="15" x14ac:dyDescent="0.2">
      <c r="A44" s="7">
        <v>43</v>
      </c>
      <c r="B44" s="8">
        <v>10634</v>
      </c>
      <c r="C44" s="9">
        <v>47002</v>
      </c>
      <c r="D44" s="10" t="s">
        <v>117</v>
      </c>
      <c r="E44" s="11" t="s">
        <v>118</v>
      </c>
      <c r="F44" s="10" t="s">
        <v>119</v>
      </c>
      <c r="G44" s="11" t="s">
        <v>120</v>
      </c>
      <c r="H44" s="11" t="s">
        <v>34</v>
      </c>
      <c r="I44" s="11" t="s">
        <v>121</v>
      </c>
      <c r="J44" s="11" t="s">
        <v>36</v>
      </c>
      <c r="K44" s="11" t="s">
        <v>122</v>
      </c>
      <c r="L44" s="11">
        <v>100</v>
      </c>
      <c r="M44" s="12">
        <v>11600</v>
      </c>
      <c r="N44" s="12">
        <v>14000</v>
      </c>
      <c r="O44" s="11" t="s">
        <v>38</v>
      </c>
      <c r="P44" s="11" t="s">
        <v>123</v>
      </c>
      <c r="Q44" s="9">
        <v>45854</v>
      </c>
      <c r="R44" s="9">
        <v>45857</v>
      </c>
      <c r="S44" s="11">
        <f>Table1[[#This Row],[تاريخ التفريغ]] - Table1[[#This Row],[تاريخ التحميل]]</f>
        <v>3</v>
      </c>
      <c r="T44" s="11">
        <v>2000</v>
      </c>
      <c r="U44" s="12">
        <v>2360</v>
      </c>
      <c r="V44" s="11">
        <f>T44+U44</f>
        <v>4360</v>
      </c>
      <c r="W44" s="12">
        <v>8.8571428571428594</v>
      </c>
      <c r="X44" s="12">
        <v>8.8571428571428594</v>
      </c>
      <c r="Y44" s="14">
        <v>292</v>
      </c>
      <c r="Z44" s="14">
        <v>442</v>
      </c>
      <c r="AA44" s="15">
        <f>SUM(Table1[[#This Row],[بدل المبيت اليوم]:[بدل السائق عن الرحلة]])</f>
        <v>734</v>
      </c>
      <c r="AB44" s="25">
        <f>Table1[[#This Row],[المسافة المقطوعة (كم)]] * 13.5</f>
        <v>58860</v>
      </c>
      <c r="AC44" s="25">
        <f>Table1[[#This Row],[المسافة المقطوعة (كم)]]/3</f>
        <v>1453.3333333333333</v>
      </c>
      <c r="AD44" s="26">
        <f>SUM(Table1[[#This Row],[مصاريف ميزان ]],Table1[[#This Row],[مصاريف كارتات ]])</f>
        <v>25600</v>
      </c>
    </row>
    <row r="45" spans="1:30" ht="15" x14ac:dyDescent="0.2">
      <c r="A45" s="18">
        <v>44</v>
      </c>
      <c r="B45" s="19">
        <v>10634</v>
      </c>
      <c r="C45" s="9">
        <v>47034</v>
      </c>
      <c r="D45" s="20" t="s">
        <v>124</v>
      </c>
      <c r="E45" s="21" t="s">
        <v>68</v>
      </c>
      <c r="F45" s="20" t="s">
        <v>125</v>
      </c>
      <c r="G45" s="21" t="s">
        <v>126</v>
      </c>
      <c r="H45" s="21" t="s">
        <v>44</v>
      </c>
      <c r="I45" s="11" t="s">
        <v>127</v>
      </c>
      <c r="J45" s="21" t="s">
        <v>46</v>
      </c>
      <c r="K45" s="21" t="s">
        <v>78</v>
      </c>
      <c r="L45" s="21">
        <v>100</v>
      </c>
      <c r="M45" s="31">
        <v>12400</v>
      </c>
      <c r="N45" s="31">
        <v>15000</v>
      </c>
      <c r="O45" s="21" t="s">
        <v>38</v>
      </c>
      <c r="P45" s="21" t="s">
        <v>128</v>
      </c>
      <c r="Q45" s="23">
        <v>45855</v>
      </c>
      <c r="R45" s="23">
        <v>45863</v>
      </c>
      <c r="S45" s="21">
        <f>Table1[[#This Row],[تاريخ التفريغ]] - Table1[[#This Row],[تاريخ التحميل]]</f>
        <v>8</v>
      </c>
      <c r="T45" s="21">
        <v>2000</v>
      </c>
      <c r="U45" s="22">
        <v>2330</v>
      </c>
      <c r="V45" s="21">
        <f>T45+U45</f>
        <v>4330</v>
      </c>
      <c r="W45" s="22">
        <v>9.1428571428571406</v>
      </c>
      <c r="X45" s="22">
        <v>9.1428571428571406</v>
      </c>
      <c r="Y45" s="24">
        <v>293</v>
      </c>
      <c r="Z45" s="24">
        <v>443</v>
      </c>
      <c r="AA45" s="15">
        <f>SUM(Table1[[#This Row],[بدل المبيت اليوم]:[بدل السائق عن الرحلة]])</f>
        <v>736</v>
      </c>
      <c r="AB45" s="25">
        <f>Table1[[#This Row],[المسافة المقطوعة (كم)]] * 13.5</f>
        <v>58455</v>
      </c>
      <c r="AC45" s="25">
        <f>Table1[[#This Row],[المسافة المقطوعة (كم)]]/3</f>
        <v>1443.3333333333333</v>
      </c>
      <c r="AD45" s="26">
        <f>SUM(Table1[[#This Row],[مصاريف ميزان ]],Table1[[#This Row],[مصاريف كارتات ]])</f>
        <v>27400</v>
      </c>
    </row>
    <row r="46" spans="1:30" ht="15" x14ac:dyDescent="0.2">
      <c r="A46" s="7">
        <v>45</v>
      </c>
      <c r="B46" s="8">
        <v>10634</v>
      </c>
      <c r="C46" s="9">
        <v>47066</v>
      </c>
      <c r="D46" s="10" t="s">
        <v>129</v>
      </c>
      <c r="E46" s="11" t="s">
        <v>31</v>
      </c>
      <c r="F46" s="10" t="s">
        <v>130</v>
      </c>
      <c r="G46" s="11" t="s">
        <v>131</v>
      </c>
      <c r="H46" s="11" t="s">
        <v>53</v>
      </c>
      <c r="I46" s="11" t="s">
        <v>132</v>
      </c>
      <c r="J46" s="11" t="s">
        <v>55</v>
      </c>
      <c r="K46" s="11" t="s">
        <v>56</v>
      </c>
      <c r="L46" s="11">
        <v>100</v>
      </c>
      <c r="M46" s="12">
        <v>13200</v>
      </c>
      <c r="N46" s="12">
        <v>16000</v>
      </c>
      <c r="O46" s="11" t="s">
        <v>38</v>
      </c>
      <c r="P46" s="11" t="s">
        <v>133</v>
      </c>
      <c r="Q46" s="9">
        <v>45887</v>
      </c>
      <c r="R46" s="9">
        <v>45891</v>
      </c>
      <c r="S46" s="11">
        <f>Table1[[#This Row],[تاريخ التفريغ]] - Table1[[#This Row],[تاريخ التحميل]]</f>
        <v>4</v>
      </c>
      <c r="T46" s="11">
        <v>2000</v>
      </c>
      <c r="U46" s="12">
        <v>2300</v>
      </c>
      <c r="V46" s="11">
        <f>T46+U46</f>
        <v>4300</v>
      </c>
      <c r="W46" s="12">
        <v>9.4285714285714306</v>
      </c>
      <c r="X46" s="12">
        <v>9.4285714285714306</v>
      </c>
      <c r="Y46" s="14">
        <v>294</v>
      </c>
      <c r="Z46" s="14">
        <v>444</v>
      </c>
      <c r="AA46" s="15">
        <f>SUM(Table1[[#This Row],[بدل المبيت اليوم]:[بدل السائق عن الرحلة]])</f>
        <v>738</v>
      </c>
      <c r="AB46" s="25">
        <f>Table1[[#This Row],[المسافة المقطوعة (كم)]] * 13.5</f>
        <v>58050</v>
      </c>
      <c r="AC46" s="25">
        <f>Table1[[#This Row],[المسافة المقطوعة (كم)]]/3</f>
        <v>1433.3333333333333</v>
      </c>
      <c r="AD46" s="26">
        <f>SUM(Table1[[#This Row],[مصاريف ميزان ]],Table1[[#This Row],[مصاريف كارتات ]])</f>
        <v>29200</v>
      </c>
    </row>
    <row r="47" spans="1:30" ht="15" x14ac:dyDescent="0.2">
      <c r="A47" s="18">
        <v>46</v>
      </c>
      <c r="B47" s="19">
        <v>10634</v>
      </c>
      <c r="C47" s="9">
        <v>47098</v>
      </c>
      <c r="D47" s="20" t="s">
        <v>134</v>
      </c>
      <c r="E47" s="21" t="s">
        <v>135</v>
      </c>
      <c r="F47" s="20" t="s">
        <v>136</v>
      </c>
      <c r="G47" s="21" t="s">
        <v>137</v>
      </c>
      <c r="H47" s="21" t="s">
        <v>62</v>
      </c>
      <c r="I47" s="11" t="s">
        <v>138</v>
      </c>
      <c r="J47" s="21" t="s">
        <v>139</v>
      </c>
      <c r="K47" s="21" t="s">
        <v>140</v>
      </c>
      <c r="L47" s="21">
        <v>100</v>
      </c>
      <c r="M47" s="31">
        <v>14000</v>
      </c>
      <c r="N47" s="31">
        <v>17000</v>
      </c>
      <c r="O47" s="21" t="s">
        <v>38</v>
      </c>
      <c r="P47" s="21" t="s">
        <v>141</v>
      </c>
      <c r="Q47" s="23">
        <v>45888</v>
      </c>
      <c r="R47" s="23">
        <v>45891</v>
      </c>
      <c r="S47" s="21">
        <f>Table1[[#This Row],[تاريخ التفريغ]] - Table1[[#This Row],[تاريخ التحميل]]</f>
        <v>3</v>
      </c>
      <c r="T47" s="21">
        <v>2000</v>
      </c>
      <c r="U47" s="22">
        <v>2270</v>
      </c>
      <c r="V47" s="21">
        <f>T47+U47</f>
        <v>4270</v>
      </c>
      <c r="W47" s="22">
        <v>9.71428571428571</v>
      </c>
      <c r="X47" s="22">
        <v>3</v>
      </c>
      <c r="Y47" s="24">
        <v>295</v>
      </c>
      <c r="Z47" s="24">
        <v>445</v>
      </c>
      <c r="AA47" s="15">
        <f>SUM(Table1[[#This Row],[بدل المبيت اليوم]:[بدل السائق عن الرحلة]])</f>
        <v>740</v>
      </c>
      <c r="AB47" s="25">
        <f>Table1[[#This Row],[المسافة المقطوعة (كم)]] * 13.5</f>
        <v>57645</v>
      </c>
      <c r="AC47" s="25">
        <f>Table1[[#This Row],[المسافة المقطوعة (كم)]]/3</f>
        <v>1423.3333333333333</v>
      </c>
      <c r="AD47" s="26">
        <f>SUM(Table1[[#This Row],[مصاريف ميزان ]],Table1[[#This Row],[مصاريف كارتات ]])</f>
        <v>31000</v>
      </c>
    </row>
    <row r="48" spans="1:30" ht="15" x14ac:dyDescent="0.2">
      <c r="A48" s="7">
        <v>47</v>
      </c>
      <c r="B48" s="8">
        <v>10634</v>
      </c>
      <c r="C48" s="9">
        <v>47130</v>
      </c>
      <c r="D48" s="10" t="s">
        <v>142</v>
      </c>
      <c r="E48" s="11" t="s">
        <v>143</v>
      </c>
      <c r="F48" s="10" t="s">
        <v>144</v>
      </c>
      <c r="G48" s="11" t="s">
        <v>145</v>
      </c>
      <c r="H48" s="11" t="s">
        <v>34</v>
      </c>
      <c r="I48" s="11" t="s">
        <v>146</v>
      </c>
      <c r="J48" s="11" t="s">
        <v>36</v>
      </c>
      <c r="K48" s="11" t="s">
        <v>122</v>
      </c>
      <c r="L48" s="11">
        <v>100</v>
      </c>
      <c r="M48" s="12">
        <v>14800</v>
      </c>
      <c r="N48" s="12">
        <v>18000</v>
      </c>
      <c r="O48" s="11" t="s">
        <v>38</v>
      </c>
      <c r="P48" s="11" t="s">
        <v>147</v>
      </c>
      <c r="Q48" s="9">
        <v>45920</v>
      </c>
      <c r="R48" s="9">
        <v>45926</v>
      </c>
      <c r="S48" s="11">
        <f>Table1[[#This Row],[تاريخ التفريغ]] - Table1[[#This Row],[تاريخ التحميل]]</f>
        <v>6</v>
      </c>
      <c r="T48" s="11">
        <v>2000</v>
      </c>
      <c r="U48" s="12">
        <v>2240</v>
      </c>
      <c r="V48" s="11">
        <f>T48+U48</f>
        <v>4240</v>
      </c>
      <c r="W48" s="12">
        <v>10</v>
      </c>
      <c r="X48" s="12">
        <v>10</v>
      </c>
      <c r="Y48" s="14">
        <v>296</v>
      </c>
      <c r="Z48" s="14">
        <v>446</v>
      </c>
      <c r="AA48" s="15">
        <f>SUM(Table1[[#This Row],[بدل المبيت اليوم]:[بدل السائق عن الرحلة]])</f>
        <v>742</v>
      </c>
      <c r="AB48" s="25">
        <f>Table1[[#This Row],[المسافة المقطوعة (كم)]] * 13.5</f>
        <v>57240</v>
      </c>
      <c r="AC48" s="25">
        <f>Table1[[#This Row],[المسافة المقطوعة (كم)]]/3</f>
        <v>1413.3333333333333</v>
      </c>
      <c r="AD48" s="26">
        <f>SUM(Table1[[#This Row],[مصاريف ميزان ]],Table1[[#This Row],[مصاريف كارتات ]])</f>
        <v>32800</v>
      </c>
    </row>
    <row r="49" spans="1:30" ht="15" x14ac:dyDescent="0.2">
      <c r="A49" s="18">
        <v>48</v>
      </c>
      <c r="B49" s="19">
        <v>10634</v>
      </c>
      <c r="C49" s="9">
        <v>47162</v>
      </c>
      <c r="D49" s="20" t="s">
        <v>148</v>
      </c>
      <c r="E49" s="21" t="s">
        <v>31</v>
      </c>
      <c r="F49" s="20" t="s">
        <v>149</v>
      </c>
      <c r="G49" s="21" t="s">
        <v>150</v>
      </c>
      <c r="H49" s="21" t="s">
        <v>44</v>
      </c>
      <c r="I49" s="11" t="s">
        <v>151</v>
      </c>
      <c r="J49" s="21" t="s">
        <v>46</v>
      </c>
      <c r="K49" s="21" t="s">
        <v>47</v>
      </c>
      <c r="L49" s="21">
        <v>100</v>
      </c>
      <c r="M49" s="31">
        <v>15600</v>
      </c>
      <c r="N49" s="31">
        <v>19000</v>
      </c>
      <c r="O49" s="21" t="s">
        <v>38</v>
      </c>
      <c r="P49" s="21" t="s">
        <v>152</v>
      </c>
      <c r="Q49" s="23">
        <v>45921</v>
      </c>
      <c r="R49" s="23">
        <v>45928</v>
      </c>
      <c r="S49" s="21">
        <f>Table1[[#This Row],[تاريخ التفريغ]] - Table1[[#This Row],[تاريخ التحميل]]</f>
        <v>7</v>
      </c>
      <c r="T49" s="21">
        <v>2000</v>
      </c>
      <c r="U49" s="22">
        <v>2210</v>
      </c>
      <c r="V49" s="21">
        <f>T49+U49</f>
        <v>4210</v>
      </c>
      <c r="W49" s="22">
        <v>10.285714285714301</v>
      </c>
      <c r="X49" s="22">
        <v>55</v>
      </c>
      <c r="Y49" s="24">
        <v>297</v>
      </c>
      <c r="Z49" s="24">
        <v>447</v>
      </c>
      <c r="AA49" s="15">
        <f>SUM(Table1[[#This Row],[بدل المبيت اليوم]:[بدل السائق عن الرحلة]])</f>
        <v>744</v>
      </c>
      <c r="AB49" s="25">
        <f>Table1[[#This Row],[المسافة المقطوعة (كم)]] * 13.5</f>
        <v>56835</v>
      </c>
      <c r="AC49" s="25">
        <f>Table1[[#This Row],[المسافة المقطوعة (كم)]]/3</f>
        <v>1403.3333333333333</v>
      </c>
      <c r="AD49" s="26">
        <f>SUM(Table1[[#This Row],[مصاريف ميزان ]],Table1[[#This Row],[مصاريف كارتات ]])</f>
        <v>34600</v>
      </c>
    </row>
    <row r="50" spans="1:30" ht="15" x14ac:dyDescent="0.2">
      <c r="A50" s="7">
        <v>49</v>
      </c>
      <c r="B50" s="8">
        <v>10634</v>
      </c>
      <c r="C50" s="9">
        <v>47194</v>
      </c>
      <c r="D50" s="10" t="s">
        <v>153</v>
      </c>
      <c r="E50" s="11" t="s">
        <v>154</v>
      </c>
      <c r="F50" s="10" t="s">
        <v>155</v>
      </c>
      <c r="G50" s="11" t="s">
        <v>156</v>
      </c>
      <c r="H50" s="11" t="s">
        <v>53</v>
      </c>
      <c r="I50" s="11" t="s">
        <v>157</v>
      </c>
      <c r="J50" s="11" t="s">
        <v>55</v>
      </c>
      <c r="K50" s="11" t="s">
        <v>56</v>
      </c>
      <c r="L50" s="11">
        <v>100</v>
      </c>
      <c r="M50" s="12">
        <v>16400</v>
      </c>
      <c r="N50" s="12">
        <v>20000</v>
      </c>
      <c r="O50" s="11" t="s">
        <v>38</v>
      </c>
      <c r="P50" s="11" t="s">
        <v>158</v>
      </c>
      <c r="Q50" s="9">
        <v>45952</v>
      </c>
      <c r="R50" s="9">
        <v>45959</v>
      </c>
      <c r="S50" s="11">
        <f>Table1[[#This Row],[تاريخ التفريغ]] - Table1[[#This Row],[تاريخ التحميل]]</f>
        <v>7</v>
      </c>
      <c r="T50" s="11">
        <v>2000</v>
      </c>
      <c r="U50" s="12">
        <v>2180</v>
      </c>
      <c r="V50" s="11">
        <f>T50+U50</f>
        <v>4180</v>
      </c>
      <c r="W50" s="12">
        <v>10.5714285714286</v>
      </c>
      <c r="X50" s="12">
        <v>5</v>
      </c>
      <c r="Y50" s="14">
        <v>298</v>
      </c>
      <c r="Z50" s="14">
        <v>448</v>
      </c>
      <c r="AA50" s="15">
        <f>SUM(Table1[[#This Row],[بدل المبيت اليوم]:[بدل السائق عن الرحلة]])</f>
        <v>746</v>
      </c>
      <c r="AB50" s="25">
        <f>Table1[[#This Row],[المسافة المقطوعة (كم)]] * 13.5</f>
        <v>56430</v>
      </c>
      <c r="AC50" s="25">
        <f>Table1[[#This Row],[المسافة المقطوعة (كم)]]/3</f>
        <v>1393.3333333333333</v>
      </c>
      <c r="AD50" s="26">
        <f>SUM(Table1[[#This Row],[مصاريف ميزان ]],Table1[[#This Row],[مصاريف كارتات ]])</f>
        <v>36400</v>
      </c>
    </row>
    <row r="51" spans="1:30" ht="15" x14ac:dyDescent="0.2">
      <c r="A51" s="18">
        <v>50</v>
      </c>
      <c r="B51" s="19">
        <v>20634</v>
      </c>
      <c r="C51" s="9">
        <v>47226</v>
      </c>
      <c r="D51" s="20" t="s">
        <v>159</v>
      </c>
      <c r="E51" s="21" t="s">
        <v>160</v>
      </c>
      <c r="F51" s="20" t="s">
        <v>161</v>
      </c>
      <c r="G51" s="21" t="s">
        <v>162</v>
      </c>
      <c r="H51" s="21" t="s">
        <v>62</v>
      </c>
      <c r="I51" s="11" t="s">
        <v>163</v>
      </c>
      <c r="J51" s="21" t="s">
        <v>139</v>
      </c>
      <c r="K51" s="21" t="s">
        <v>164</v>
      </c>
      <c r="L51" s="21">
        <v>100</v>
      </c>
      <c r="M51" s="31">
        <v>17200</v>
      </c>
      <c r="N51" s="31">
        <v>21000</v>
      </c>
      <c r="O51" s="21" t="s">
        <v>38</v>
      </c>
      <c r="P51" s="21" t="s">
        <v>103</v>
      </c>
      <c r="Q51" s="23">
        <v>45953</v>
      </c>
      <c r="R51" s="23">
        <v>45957</v>
      </c>
      <c r="S51" s="21">
        <f>Table1[[#This Row],[تاريخ التفريغ]] - Table1[[#This Row],[تاريخ التحميل]]</f>
        <v>4</v>
      </c>
      <c r="T51" s="21">
        <v>2000</v>
      </c>
      <c r="U51" s="22">
        <v>2150</v>
      </c>
      <c r="V51" s="21">
        <f>T51+U51</f>
        <v>4150</v>
      </c>
      <c r="W51" s="22">
        <v>10.8571428571429</v>
      </c>
      <c r="X51" s="22">
        <v>10.8571428571429</v>
      </c>
      <c r="Y51" s="24">
        <v>299</v>
      </c>
      <c r="Z51" s="24">
        <v>449</v>
      </c>
      <c r="AA51" s="15">
        <f>SUM(Table1[[#This Row],[بدل المبيت اليوم]:[بدل السائق عن الرحلة]])</f>
        <v>748</v>
      </c>
      <c r="AB51" s="25">
        <f>Table1[[#This Row],[المسافة المقطوعة (كم)]] * 13.5</f>
        <v>56025</v>
      </c>
      <c r="AC51" s="25">
        <f>Table1[[#This Row],[المسافة المقطوعة (كم)]]/3</f>
        <v>1383.3333333333333</v>
      </c>
      <c r="AD51" s="26">
        <f>SUM(Table1[[#This Row],[مصاريف ميزان ]],Table1[[#This Row],[مصاريف كارتات ]])</f>
        <v>38200</v>
      </c>
    </row>
    <row r="52" spans="1:30" ht="15" x14ac:dyDescent="0.2">
      <c r="A52" s="7">
        <v>51</v>
      </c>
      <c r="B52" s="8">
        <v>20634</v>
      </c>
      <c r="C52" s="9">
        <v>47258</v>
      </c>
      <c r="D52" s="10" t="s">
        <v>165</v>
      </c>
      <c r="E52" s="11" t="s">
        <v>166</v>
      </c>
      <c r="F52" s="10" t="s">
        <v>167</v>
      </c>
      <c r="G52" s="11" t="s">
        <v>168</v>
      </c>
      <c r="H52" s="11" t="s">
        <v>34</v>
      </c>
      <c r="I52" s="11" t="s">
        <v>169</v>
      </c>
      <c r="J52" s="11" t="s">
        <v>36</v>
      </c>
      <c r="K52" s="11" t="s">
        <v>122</v>
      </c>
      <c r="L52" s="11">
        <v>100</v>
      </c>
      <c r="M52" s="12">
        <v>18000</v>
      </c>
      <c r="N52" s="12">
        <v>22000</v>
      </c>
      <c r="O52" s="11" t="s">
        <v>38</v>
      </c>
      <c r="P52" s="11" t="s">
        <v>85</v>
      </c>
      <c r="Q52" s="9">
        <v>45954</v>
      </c>
      <c r="R52" s="9">
        <v>45960</v>
      </c>
      <c r="S52" s="11">
        <f>Table1[[#This Row],[تاريخ التفريغ]] - Table1[[#This Row],[تاريخ التحميل]]</f>
        <v>6</v>
      </c>
      <c r="T52" s="11">
        <v>2000</v>
      </c>
      <c r="U52" s="12">
        <v>2120</v>
      </c>
      <c r="V52" s="11">
        <f>T52+U52</f>
        <v>4120</v>
      </c>
      <c r="W52" s="12">
        <v>11.1428571428571</v>
      </c>
      <c r="X52" s="12">
        <v>11.1428571428571</v>
      </c>
      <c r="Y52" s="14">
        <v>300</v>
      </c>
      <c r="Z52" s="14">
        <v>450</v>
      </c>
      <c r="AA52" s="15">
        <f>SUM(Table1[[#This Row],[بدل المبيت اليوم]:[بدل السائق عن الرحلة]])</f>
        <v>750</v>
      </c>
      <c r="AB52" s="25">
        <f>Table1[[#This Row],[المسافة المقطوعة (كم)]] * 13.5</f>
        <v>55620</v>
      </c>
      <c r="AC52" s="25">
        <f>Table1[[#This Row],[المسافة المقطوعة (كم)]]/3</f>
        <v>1373.3333333333333</v>
      </c>
      <c r="AD52" s="26">
        <f>SUM(Table1[[#This Row],[مصاريف ميزان ]],Table1[[#This Row],[مصاريف كارتات ]])</f>
        <v>40000</v>
      </c>
    </row>
    <row r="53" spans="1:30" ht="15" x14ac:dyDescent="0.2">
      <c r="A53" s="18">
        <v>52</v>
      </c>
      <c r="B53" s="19">
        <v>20634</v>
      </c>
      <c r="C53" s="9">
        <v>47290</v>
      </c>
      <c r="D53" s="20" t="s">
        <v>170</v>
      </c>
      <c r="E53" s="21" t="s">
        <v>171</v>
      </c>
      <c r="F53" s="20" t="s">
        <v>172</v>
      </c>
      <c r="G53" s="21" t="s">
        <v>173</v>
      </c>
      <c r="H53" s="21" t="s">
        <v>44</v>
      </c>
      <c r="I53" s="11" t="s">
        <v>174</v>
      </c>
      <c r="J53" s="21" t="s">
        <v>46</v>
      </c>
      <c r="K53" s="21" t="s">
        <v>78</v>
      </c>
      <c r="L53" s="21">
        <v>100</v>
      </c>
      <c r="M53" s="31">
        <v>18800</v>
      </c>
      <c r="N53" s="31">
        <v>23000</v>
      </c>
      <c r="O53" s="21" t="s">
        <v>38</v>
      </c>
      <c r="P53" s="21" t="s">
        <v>175</v>
      </c>
      <c r="Q53" s="23">
        <v>45986</v>
      </c>
      <c r="R53" s="23">
        <v>45991</v>
      </c>
      <c r="S53" s="21">
        <f>Table1[[#This Row],[تاريخ التفريغ]] - Table1[[#This Row],[تاريخ التحميل]]</f>
        <v>5</v>
      </c>
      <c r="T53" s="21">
        <v>2000</v>
      </c>
      <c r="U53" s="22">
        <v>2090</v>
      </c>
      <c r="V53" s="21">
        <f>T53+U53</f>
        <v>4090</v>
      </c>
      <c r="W53" s="22">
        <v>11.4285714285714</v>
      </c>
      <c r="X53" s="22">
        <v>3</v>
      </c>
      <c r="Y53" s="24">
        <v>301</v>
      </c>
      <c r="Z53" s="24">
        <v>451</v>
      </c>
      <c r="AA53" s="15">
        <f>SUM(Table1[[#This Row],[بدل المبيت اليوم]:[بدل السائق عن الرحلة]])</f>
        <v>752</v>
      </c>
      <c r="AB53" s="25">
        <f>Table1[[#This Row],[المسافة المقطوعة (كم)]] * 13.5</f>
        <v>55215</v>
      </c>
      <c r="AC53" s="25">
        <f>Table1[[#This Row],[المسافة المقطوعة (كم)]]/3</f>
        <v>1363.3333333333333</v>
      </c>
      <c r="AD53" s="26">
        <f>SUM(Table1[[#This Row],[مصاريف ميزان ]],Table1[[#This Row],[مصاريف كارتات ]])</f>
        <v>41800</v>
      </c>
    </row>
    <row r="54" spans="1:30" ht="15" x14ac:dyDescent="0.2">
      <c r="A54" s="7">
        <v>53</v>
      </c>
      <c r="B54" s="8">
        <v>20634</v>
      </c>
      <c r="C54" s="9">
        <v>47322</v>
      </c>
      <c r="D54" s="10" t="s">
        <v>176</v>
      </c>
      <c r="E54" s="11" t="s">
        <v>177</v>
      </c>
      <c r="F54" s="10" t="s">
        <v>178</v>
      </c>
      <c r="G54" s="11" t="s">
        <v>179</v>
      </c>
      <c r="H54" s="11" t="s">
        <v>53</v>
      </c>
      <c r="I54" s="11" t="s">
        <v>180</v>
      </c>
      <c r="J54" s="11" t="s">
        <v>55</v>
      </c>
      <c r="K54" s="11" t="s">
        <v>56</v>
      </c>
      <c r="L54" s="11">
        <v>100</v>
      </c>
      <c r="M54" s="12">
        <v>19600</v>
      </c>
      <c r="N54" s="12">
        <v>24000</v>
      </c>
      <c r="O54" s="11" t="s">
        <v>38</v>
      </c>
      <c r="P54" s="11" t="s">
        <v>181</v>
      </c>
      <c r="Q54" s="9">
        <v>45987</v>
      </c>
      <c r="R54" s="9">
        <v>45991</v>
      </c>
      <c r="S54" s="11">
        <f>Table1[[#This Row],[تاريخ التفريغ]] - Table1[[#This Row],[تاريخ التحميل]]</f>
        <v>4</v>
      </c>
      <c r="T54" s="11">
        <v>2000</v>
      </c>
      <c r="U54" s="12">
        <v>2060</v>
      </c>
      <c r="V54" s="11">
        <f>T54+U54</f>
        <v>4060</v>
      </c>
      <c r="W54" s="12">
        <v>11.714285714285699</v>
      </c>
      <c r="X54" s="12">
        <v>11.714285714285699</v>
      </c>
      <c r="Y54" s="14">
        <v>302</v>
      </c>
      <c r="Z54" s="14">
        <v>452</v>
      </c>
      <c r="AA54" s="15">
        <f>SUM(Table1[[#This Row],[بدل المبيت اليوم]:[بدل السائق عن الرحلة]])</f>
        <v>754</v>
      </c>
      <c r="AB54" s="25">
        <f>Table1[[#This Row],[المسافة المقطوعة (كم)]] * 13.5</f>
        <v>54810</v>
      </c>
      <c r="AC54" s="25">
        <f>Table1[[#This Row],[المسافة المقطوعة (كم)]]/3</f>
        <v>1353.3333333333333</v>
      </c>
      <c r="AD54" s="26">
        <f>SUM(Table1[[#This Row],[مصاريف ميزان ]],Table1[[#This Row],[مصاريف كارتات ]])</f>
        <v>43600</v>
      </c>
    </row>
    <row r="55" spans="1:30" ht="15" x14ac:dyDescent="0.2">
      <c r="A55" s="18">
        <v>54</v>
      </c>
      <c r="B55" s="19">
        <v>20634</v>
      </c>
      <c r="C55" s="9">
        <v>47354</v>
      </c>
      <c r="D55" s="20" t="s">
        <v>182</v>
      </c>
      <c r="E55" s="21" t="s">
        <v>183</v>
      </c>
      <c r="F55" s="20" t="s">
        <v>184</v>
      </c>
      <c r="G55" s="21" t="s">
        <v>185</v>
      </c>
      <c r="H55" s="21" t="s">
        <v>62</v>
      </c>
      <c r="I55" s="11" t="s">
        <v>186</v>
      </c>
      <c r="J55" s="21" t="s">
        <v>139</v>
      </c>
      <c r="K55" s="21" t="s">
        <v>187</v>
      </c>
      <c r="L55" s="21">
        <v>100</v>
      </c>
      <c r="M55" s="31">
        <v>20400</v>
      </c>
      <c r="N55" s="31">
        <v>25000</v>
      </c>
      <c r="O55" s="21" t="s">
        <v>38</v>
      </c>
      <c r="P55" s="21" t="s">
        <v>79</v>
      </c>
      <c r="Q55" s="23">
        <v>45996</v>
      </c>
      <c r="R55" s="23">
        <v>46006</v>
      </c>
      <c r="S55" s="21">
        <f>Table1[[#This Row],[تاريخ التفريغ]] - Table1[[#This Row],[تاريخ التحميل]]</f>
        <v>10</v>
      </c>
      <c r="T55" s="21">
        <v>2000</v>
      </c>
      <c r="U55" s="22">
        <v>2030</v>
      </c>
      <c r="V55" s="21">
        <f>T55+U55</f>
        <v>4030</v>
      </c>
      <c r="W55" s="22">
        <v>12</v>
      </c>
      <c r="X55" s="22">
        <v>5</v>
      </c>
      <c r="Y55" s="24">
        <v>303</v>
      </c>
      <c r="Z55" s="24">
        <v>453</v>
      </c>
      <c r="AA55" s="15">
        <f>SUM(Table1[[#This Row],[بدل المبيت اليوم]:[بدل السائق عن الرحلة]])</f>
        <v>756</v>
      </c>
      <c r="AB55" s="25">
        <f>Table1[[#This Row],[المسافة المقطوعة (كم)]] * 13.5</f>
        <v>54405</v>
      </c>
      <c r="AC55" s="25">
        <f>Table1[[#This Row],[المسافة المقطوعة (كم)]]/3</f>
        <v>1343.3333333333333</v>
      </c>
      <c r="AD55" s="26">
        <f>SUM(Table1[[#This Row],[مصاريف ميزان ]],Table1[[#This Row],[مصاريف كارتات ]])</f>
        <v>45400</v>
      </c>
    </row>
    <row r="56" spans="1:30" ht="15" x14ac:dyDescent="0.2">
      <c r="A56" s="7">
        <v>55</v>
      </c>
      <c r="B56" s="8">
        <v>20634</v>
      </c>
      <c r="C56" s="9">
        <v>47386</v>
      </c>
      <c r="D56" s="10" t="s">
        <v>188</v>
      </c>
      <c r="E56" s="11" t="s">
        <v>189</v>
      </c>
      <c r="F56" s="10" t="s">
        <v>190</v>
      </c>
      <c r="G56" s="11" t="s">
        <v>191</v>
      </c>
      <c r="H56" s="11" t="s">
        <v>34</v>
      </c>
      <c r="I56" s="11" t="s">
        <v>192</v>
      </c>
      <c r="J56" s="11" t="s">
        <v>36</v>
      </c>
      <c r="K56" s="11" t="s">
        <v>122</v>
      </c>
      <c r="L56" s="11">
        <v>100</v>
      </c>
      <c r="M56" s="12">
        <v>21200</v>
      </c>
      <c r="N56" s="12">
        <v>26000</v>
      </c>
      <c r="O56" s="11" t="s">
        <v>38</v>
      </c>
      <c r="P56" s="11" t="s">
        <v>193</v>
      </c>
      <c r="Q56" s="9">
        <v>45997</v>
      </c>
      <c r="R56" s="9">
        <v>46007</v>
      </c>
      <c r="S56" s="11">
        <f>Table1[[#This Row],[تاريخ التفريغ]] - Table1[[#This Row],[تاريخ التحميل]]</f>
        <v>10</v>
      </c>
      <c r="T56" s="11">
        <v>2000</v>
      </c>
      <c r="U56" s="12">
        <v>2000</v>
      </c>
      <c r="V56" s="11">
        <f>T56+U56</f>
        <v>4000</v>
      </c>
      <c r="W56" s="12">
        <v>12.285714285714301</v>
      </c>
      <c r="X56" s="12">
        <v>8</v>
      </c>
      <c r="Y56" s="14">
        <v>304</v>
      </c>
      <c r="Z56" s="14">
        <v>454</v>
      </c>
      <c r="AA56" s="15">
        <f>SUM(Table1[[#This Row],[بدل المبيت اليوم]:[بدل السائق عن الرحلة]])</f>
        <v>758</v>
      </c>
      <c r="AB56" s="25">
        <f>Table1[[#This Row],[المسافة المقطوعة (كم)]] * 13.5</f>
        <v>54000</v>
      </c>
      <c r="AC56" s="25">
        <f>Table1[[#This Row],[المسافة المقطوعة (كم)]]/3</f>
        <v>1333.3333333333333</v>
      </c>
      <c r="AD56" s="26">
        <f>SUM(Table1[[#This Row],[مصاريف ميزان ]],Table1[[#This Row],[مصاريف كارتات ]])</f>
        <v>47200</v>
      </c>
    </row>
    <row r="57" spans="1:30" ht="15" x14ac:dyDescent="0.2">
      <c r="A57" s="18">
        <v>56</v>
      </c>
      <c r="B57" s="19">
        <v>22634</v>
      </c>
      <c r="C57" s="9">
        <v>47418</v>
      </c>
      <c r="D57" s="20" t="s">
        <v>194</v>
      </c>
      <c r="E57" s="21" t="s">
        <v>195</v>
      </c>
      <c r="F57" s="20" t="s">
        <v>196</v>
      </c>
      <c r="G57" s="21" t="s">
        <v>197</v>
      </c>
      <c r="H57" s="21" t="s">
        <v>44</v>
      </c>
      <c r="I57" s="11" t="s">
        <v>198</v>
      </c>
      <c r="J57" s="21" t="s">
        <v>46</v>
      </c>
      <c r="K57" s="21" t="s">
        <v>47</v>
      </c>
      <c r="L57" s="21">
        <v>100</v>
      </c>
      <c r="M57" s="31">
        <v>22000</v>
      </c>
      <c r="N57" s="31">
        <v>27000</v>
      </c>
      <c r="O57" s="21" t="s">
        <v>38</v>
      </c>
      <c r="P57" s="21" t="s">
        <v>199</v>
      </c>
      <c r="Q57" s="23">
        <v>45998</v>
      </c>
      <c r="R57" s="23">
        <v>46010</v>
      </c>
      <c r="S57" s="21">
        <f>Table1[[#This Row],[تاريخ التفريغ]] - Table1[[#This Row],[تاريخ التحميل]]</f>
        <v>12</v>
      </c>
      <c r="T57" s="21">
        <v>2000</v>
      </c>
      <c r="U57" s="22">
        <v>1970</v>
      </c>
      <c r="V57" s="21">
        <f>T57+U57</f>
        <v>3970</v>
      </c>
      <c r="W57" s="22">
        <v>12.5714285714286</v>
      </c>
      <c r="X57" s="22">
        <v>5</v>
      </c>
      <c r="Y57" s="24">
        <v>305</v>
      </c>
      <c r="Z57" s="24">
        <v>455</v>
      </c>
      <c r="AA57" s="15">
        <f>SUM(Table1[[#This Row],[بدل المبيت اليوم]:[بدل السائق عن الرحلة]])</f>
        <v>760</v>
      </c>
      <c r="AB57" s="25">
        <f>Table1[[#This Row],[المسافة المقطوعة (كم)]] * 13.5</f>
        <v>53595</v>
      </c>
      <c r="AC57" s="25">
        <f>Table1[[#This Row],[المسافة المقطوعة (كم)]]/3</f>
        <v>1323.3333333333333</v>
      </c>
      <c r="AD57" s="26">
        <f>SUM(Table1[[#This Row],[مصاريف ميزان ]],Table1[[#This Row],[مصاريف كارتات ]])</f>
        <v>49000</v>
      </c>
    </row>
    <row r="58" spans="1:30" ht="15" x14ac:dyDescent="0.2">
      <c r="A58" s="7">
        <v>57</v>
      </c>
      <c r="B58" s="8">
        <v>22634</v>
      </c>
      <c r="C58" s="9">
        <v>47450</v>
      </c>
      <c r="D58" s="10" t="s">
        <v>200</v>
      </c>
      <c r="E58" s="11" t="s">
        <v>201</v>
      </c>
      <c r="F58" s="10" t="s">
        <v>202</v>
      </c>
      <c r="G58" s="11" t="s">
        <v>203</v>
      </c>
      <c r="H58" s="11" t="s">
        <v>53</v>
      </c>
      <c r="I58" s="11" t="s">
        <v>204</v>
      </c>
      <c r="J58" s="11" t="s">
        <v>55</v>
      </c>
      <c r="K58" s="11" t="s">
        <v>56</v>
      </c>
      <c r="L58" s="11">
        <v>100</v>
      </c>
      <c r="M58" s="12">
        <v>22800</v>
      </c>
      <c r="N58" s="12">
        <v>28000</v>
      </c>
      <c r="O58" s="11" t="s">
        <v>38</v>
      </c>
      <c r="P58" s="11" t="s">
        <v>205</v>
      </c>
      <c r="Q58" s="9">
        <v>45999</v>
      </c>
      <c r="R58" s="9">
        <v>46006</v>
      </c>
      <c r="S58" s="11">
        <f>Table1[[#This Row],[تاريخ التفريغ]] - Table1[[#This Row],[تاريخ التحميل]]</f>
        <v>7</v>
      </c>
      <c r="T58" s="11">
        <v>2000</v>
      </c>
      <c r="U58" s="12">
        <v>1940</v>
      </c>
      <c r="V58" s="11">
        <f>T58+U58</f>
        <v>3940</v>
      </c>
      <c r="W58" s="12">
        <v>12.8571428571429</v>
      </c>
      <c r="X58" s="12">
        <v>5</v>
      </c>
      <c r="Y58" s="14">
        <v>306</v>
      </c>
      <c r="Z58" s="14">
        <v>456</v>
      </c>
      <c r="AA58" s="15">
        <f>SUM(Table1[[#This Row],[بدل المبيت اليوم]:[بدل السائق عن الرحلة]])</f>
        <v>762</v>
      </c>
      <c r="AB58" s="25">
        <f>Table1[[#This Row],[المسافة المقطوعة (كم)]] * 13.5</f>
        <v>53190</v>
      </c>
      <c r="AC58" s="25">
        <f>Table1[[#This Row],[المسافة المقطوعة (كم)]]/3</f>
        <v>1313.3333333333333</v>
      </c>
      <c r="AD58" s="26">
        <f>SUM(Table1[[#This Row],[مصاريف ميزان ]],Table1[[#This Row],[مصاريف كارتات ]])</f>
        <v>50800</v>
      </c>
    </row>
    <row r="59" spans="1:30" ht="15" x14ac:dyDescent="0.2">
      <c r="A59" s="18">
        <v>58</v>
      </c>
      <c r="B59" s="19">
        <v>22634</v>
      </c>
      <c r="C59" s="9">
        <v>47482</v>
      </c>
      <c r="D59" s="20" t="s">
        <v>206</v>
      </c>
      <c r="E59" s="21" t="s">
        <v>207</v>
      </c>
      <c r="F59" s="20" t="s">
        <v>208</v>
      </c>
      <c r="G59" s="21" t="s">
        <v>209</v>
      </c>
      <c r="H59" s="21" t="s">
        <v>62</v>
      </c>
      <c r="I59" s="11" t="s">
        <v>210</v>
      </c>
      <c r="J59" s="21" t="s">
        <v>139</v>
      </c>
      <c r="K59" s="21" t="s">
        <v>211</v>
      </c>
      <c r="L59" s="21">
        <v>100</v>
      </c>
      <c r="M59" s="31">
        <v>23600</v>
      </c>
      <c r="N59" s="31">
        <v>29000</v>
      </c>
      <c r="O59" s="21" t="s">
        <v>38</v>
      </c>
      <c r="P59" s="21" t="s">
        <v>66</v>
      </c>
      <c r="Q59" s="23">
        <v>46000</v>
      </c>
      <c r="R59" s="23">
        <v>46011</v>
      </c>
      <c r="S59" s="21">
        <f>Table1[[#This Row],[تاريخ التفريغ]] - Table1[[#This Row],[تاريخ التحميل]]</f>
        <v>11</v>
      </c>
      <c r="T59" s="21">
        <v>2000</v>
      </c>
      <c r="U59" s="22">
        <v>1910</v>
      </c>
      <c r="V59" s="21">
        <f>T59+U59</f>
        <v>3910</v>
      </c>
      <c r="W59" s="22">
        <v>13.1428571428571</v>
      </c>
      <c r="X59" s="22">
        <v>13.1428571428571</v>
      </c>
      <c r="Y59" s="24">
        <v>307</v>
      </c>
      <c r="Z59" s="24">
        <v>457</v>
      </c>
      <c r="AA59" s="15">
        <f>SUM(Table1[[#This Row],[بدل المبيت اليوم]:[بدل السائق عن الرحلة]])</f>
        <v>764</v>
      </c>
      <c r="AB59" s="25">
        <f>Table1[[#This Row],[المسافة المقطوعة (كم)]] * 13.5</f>
        <v>52785</v>
      </c>
      <c r="AC59" s="25">
        <f>Table1[[#This Row],[المسافة المقطوعة (كم)]]/3</f>
        <v>1303.3333333333333</v>
      </c>
      <c r="AD59" s="26">
        <f>SUM(Table1[[#This Row],[مصاريف ميزان ]],Table1[[#This Row],[مصاريف كارتات ]])</f>
        <v>52600</v>
      </c>
    </row>
    <row r="60" spans="1:30" ht="15" x14ac:dyDescent="0.2">
      <c r="A60" s="7">
        <v>59</v>
      </c>
      <c r="B60" s="8">
        <v>22634</v>
      </c>
      <c r="C60" s="9">
        <v>47514</v>
      </c>
      <c r="D60" s="10" t="s">
        <v>212</v>
      </c>
      <c r="E60" s="11" t="s">
        <v>213</v>
      </c>
      <c r="F60" s="10" t="s">
        <v>214</v>
      </c>
      <c r="G60" s="11" t="s">
        <v>215</v>
      </c>
      <c r="H60" s="11" t="s">
        <v>34</v>
      </c>
      <c r="I60" s="11" t="s">
        <v>216</v>
      </c>
      <c r="J60" s="11" t="s">
        <v>36</v>
      </c>
      <c r="K60" s="11" t="s">
        <v>122</v>
      </c>
      <c r="L60" s="11">
        <v>100</v>
      </c>
      <c r="M60" s="12">
        <v>24400</v>
      </c>
      <c r="N60" s="12">
        <v>30000</v>
      </c>
      <c r="O60" s="11" t="s">
        <v>38</v>
      </c>
      <c r="P60" s="11" t="s">
        <v>57</v>
      </c>
      <c r="Q60" s="9">
        <v>46001</v>
      </c>
      <c r="R60" s="9">
        <v>46011</v>
      </c>
      <c r="S60" s="11">
        <f>Table1[[#This Row],[تاريخ التفريغ]] - Table1[[#This Row],[تاريخ التحميل]]</f>
        <v>10</v>
      </c>
      <c r="T60" s="11">
        <v>2000</v>
      </c>
      <c r="U60" s="12">
        <v>1880</v>
      </c>
      <c r="V60" s="11">
        <f>T60+U60</f>
        <v>3880</v>
      </c>
      <c r="W60" s="12">
        <v>13.4285714285714</v>
      </c>
      <c r="X60" s="12">
        <v>33</v>
      </c>
      <c r="Y60" s="14">
        <v>308</v>
      </c>
      <c r="Z60" s="14">
        <v>458</v>
      </c>
      <c r="AA60" s="15">
        <f>SUM(Table1[[#This Row],[بدل المبيت اليوم]:[بدل السائق عن الرحلة]])</f>
        <v>766</v>
      </c>
      <c r="AB60" s="25">
        <f>Table1[[#This Row],[المسافة المقطوعة (كم)]] * 13.5</f>
        <v>52380</v>
      </c>
      <c r="AC60" s="25">
        <f>Table1[[#This Row],[المسافة المقطوعة (كم)]]/3</f>
        <v>1293.3333333333333</v>
      </c>
      <c r="AD60" s="26">
        <f>SUM(Table1[[#This Row],[مصاريف ميزان ]],Table1[[#This Row],[مصاريف كارتات ]])</f>
        <v>54400</v>
      </c>
    </row>
    <row r="61" spans="1:30" ht="15" x14ac:dyDescent="0.2">
      <c r="A61" s="27">
        <v>60</v>
      </c>
      <c r="B61" s="28">
        <v>32634</v>
      </c>
      <c r="C61" s="9">
        <v>47546</v>
      </c>
      <c r="D61" s="29" t="s">
        <v>217</v>
      </c>
      <c r="E61" s="30" t="s">
        <v>218</v>
      </c>
      <c r="F61" s="29" t="s">
        <v>219</v>
      </c>
      <c r="G61" s="30" t="s">
        <v>220</v>
      </c>
      <c r="H61" s="30" t="s">
        <v>44</v>
      </c>
      <c r="I61" s="11" t="s">
        <v>221</v>
      </c>
      <c r="J61" s="30" t="s">
        <v>46</v>
      </c>
      <c r="K61" s="30" t="s">
        <v>78</v>
      </c>
      <c r="L61" s="30">
        <v>100</v>
      </c>
      <c r="M61" s="31">
        <v>25200</v>
      </c>
      <c r="N61" s="31">
        <v>31000</v>
      </c>
      <c r="O61" s="30" t="s">
        <v>38</v>
      </c>
      <c r="P61" s="30" t="s">
        <v>79</v>
      </c>
      <c r="Q61" s="32">
        <v>46002</v>
      </c>
      <c r="R61" s="32">
        <v>46010</v>
      </c>
      <c r="S61" s="30">
        <f>Table1[[#This Row],[تاريخ التفريغ]] - Table1[[#This Row],[تاريخ التحميل]]</f>
        <v>8</v>
      </c>
      <c r="T61" s="30">
        <v>2000</v>
      </c>
      <c r="U61" s="31">
        <v>1850</v>
      </c>
      <c r="V61" s="30">
        <f>T61+U61</f>
        <v>3850</v>
      </c>
      <c r="W61" s="31">
        <v>13.714285714285699</v>
      </c>
      <c r="X61" s="31">
        <v>3</v>
      </c>
      <c r="Y61" s="24">
        <v>309</v>
      </c>
      <c r="Z61" s="24">
        <v>459</v>
      </c>
      <c r="AA61" s="15">
        <f>SUM(Table1[[#This Row],[بدل المبيت اليوم]:[بدل السائق عن الرحلة]])</f>
        <v>768</v>
      </c>
      <c r="AB61" s="33">
        <f>Table1[[#This Row],[المسافة المقطوعة (كم)]] * 13.5</f>
        <v>51975</v>
      </c>
      <c r="AC61" s="33">
        <f>Table1[[#This Row],[المسافة المقطوعة (كم)]]/3</f>
        <v>1283.3333333333333</v>
      </c>
      <c r="AD61" s="34">
        <f>SUM(Table1[[#This Row],[مصاريف ميزان ]],Table1[[#This Row],[مصاريف كارتات ]])</f>
        <v>56200</v>
      </c>
    </row>
    <row r="62" spans="1:3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1:3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1:3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1:29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1:29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1:29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1:29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1:29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1:29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1:29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1:29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1:29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1:29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1:29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1:29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1:29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1:29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1:29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1:29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1:29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1:29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1:29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1:29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1:29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1:29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1:29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1:29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1:29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1:29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1:29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1:29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1:29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1:29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1:29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1:29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1:29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1:29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1:29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1:29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1:29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1:29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1:29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1:29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1:29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1:29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1:29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1:29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1:29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1:29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1:29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1:29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1:29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1:29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1:29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1:29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1:29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1:29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1:29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1:29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1:29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1:29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1:29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1:29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1:29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1:29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1:29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1:29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1:29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Mohamed</dc:creator>
  <cp:lastModifiedBy>MOHAMED SKAWY</cp:lastModifiedBy>
  <dcterms:created xsi:type="dcterms:W3CDTF">2025-04-17T19:24:36Z</dcterms:created>
  <dcterms:modified xsi:type="dcterms:W3CDTF">2025-09-08T19:49:05Z</dcterms:modified>
</cp:coreProperties>
</file>